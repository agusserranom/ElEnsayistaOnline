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ISCO_D\clases\DISCO_D\clases_2025\Diseño Computacional\CLASE_13_19112025\"/>
    </mc:Choice>
  </mc:AlternateContent>
  <xr:revisionPtr revIDLastSave="0" documentId="13_ncr:1_{6D3A3363-C483-4DE9-8796-1B566EA1207C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resumen" sheetId="21" r:id="rId1"/>
    <sheet name="VENTAS" sheetId="1" r:id="rId2"/>
    <sheet name="CAJA DIARIA" sheetId="20" r:id="rId3"/>
  </sheets>
  <definedNames>
    <definedName name="_xlnm._FilterDatabase" localSheetId="1" hidden="1">VENTAS!$B$5:$L$130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6" i="20" l="1"/>
  <c r="E17" i="20" s="1"/>
  <c r="E18" i="20" s="1"/>
  <c r="F77" i="1" l="1"/>
  <c r="G77" i="1" s="1"/>
  <c r="H77" i="1" l="1"/>
  <c r="F60" i="1" l="1"/>
  <c r="G60" i="1" s="1"/>
  <c r="H60" i="1" s="1"/>
  <c r="F41" i="1"/>
  <c r="F26" i="1"/>
  <c r="G26" i="1" s="1"/>
  <c r="H26" i="1" s="1"/>
  <c r="F9" i="1"/>
  <c r="G9" i="1" s="1"/>
  <c r="H9" i="1" s="1"/>
  <c r="F68" i="1"/>
  <c r="G68" i="1" s="1"/>
  <c r="F53" i="1"/>
  <c r="G53" i="1" s="1"/>
  <c r="H53" i="1" s="1"/>
  <c r="F43" i="1"/>
  <c r="F30" i="1"/>
  <c r="G30" i="1" s="1"/>
  <c r="F16" i="1"/>
  <c r="G16" i="1" s="1"/>
  <c r="H16" i="1" s="1"/>
  <c r="F76" i="1"/>
  <c r="F58" i="1"/>
  <c r="G58" i="1" s="1"/>
  <c r="H58" i="1" s="1"/>
  <c r="F35" i="1"/>
  <c r="G35" i="1" s="1"/>
  <c r="H35" i="1" s="1"/>
  <c r="F31" i="1"/>
  <c r="F12" i="1"/>
  <c r="G12" i="1" s="1"/>
  <c r="H12" i="1" s="1"/>
  <c r="F72" i="1"/>
  <c r="F49" i="1"/>
  <c r="F48" i="1"/>
  <c r="G48" i="1" s="1"/>
  <c r="H48" i="1" s="1"/>
  <c r="G31" i="1" l="1"/>
  <c r="H31" i="1" s="1"/>
  <c r="G49" i="1"/>
  <c r="H49" i="1" s="1"/>
  <c r="H30" i="1"/>
  <c r="G76" i="1"/>
  <c r="H76" i="1" s="1"/>
  <c r="H68" i="1"/>
  <c r="G41" i="1"/>
  <c r="H41" i="1" s="1"/>
  <c r="G72" i="1"/>
  <c r="H72" i="1" s="1"/>
  <c r="G43" i="1"/>
  <c r="H43" i="1" s="1"/>
  <c r="F59" i="1"/>
  <c r="F40" i="1"/>
  <c r="G40" i="1" s="1"/>
  <c r="F25" i="1"/>
  <c r="F8" i="1"/>
  <c r="G8" i="1" s="1"/>
  <c r="H8" i="1" s="1"/>
  <c r="F67" i="1"/>
  <c r="F52" i="1"/>
  <c r="F46" i="1"/>
  <c r="F29" i="1"/>
  <c r="G29" i="1" s="1"/>
  <c r="F15" i="1"/>
  <c r="F75" i="1"/>
  <c r="F56" i="1"/>
  <c r="F34" i="1"/>
  <c r="G34" i="1" s="1"/>
  <c r="F28" i="1"/>
  <c r="F11" i="1"/>
  <c r="G11" i="1" s="1"/>
  <c r="H11" i="1" s="1"/>
  <c r="F71" i="1"/>
  <c r="F50" i="1"/>
  <c r="G50" i="1" s="1"/>
  <c r="H50" i="1" s="1"/>
  <c r="F42" i="1"/>
  <c r="F20" i="1"/>
  <c r="F19" i="1"/>
  <c r="F70" i="1"/>
  <c r="G70" i="1" s="1"/>
  <c r="F57" i="1"/>
  <c r="F37" i="1"/>
  <c r="G37" i="1" s="1"/>
  <c r="H37" i="1" s="1"/>
  <c r="F22" i="1"/>
  <c r="F14" i="1"/>
  <c r="G14" i="1" s="1"/>
  <c r="H14" i="1" s="1"/>
  <c r="F73" i="1"/>
  <c r="F61" i="1"/>
  <c r="G61" i="1" s="1"/>
  <c r="H61" i="1" s="1"/>
  <c r="F39" i="1"/>
  <c r="F24" i="1"/>
  <c r="G24" i="1" s="1"/>
  <c r="H24" i="1" s="1"/>
  <c r="F10" i="1"/>
  <c r="F66" i="1"/>
  <c r="G66" i="1" s="1"/>
  <c r="H66" i="1" s="1"/>
  <c r="F51" i="1"/>
  <c r="F45" i="1"/>
  <c r="G45" i="1" s="1"/>
  <c r="H45" i="1" s="1"/>
  <c r="F27" i="1"/>
  <c r="F17" i="1"/>
  <c r="G17" i="1" s="1"/>
  <c r="H17" i="1" s="1"/>
  <c r="F65" i="1"/>
  <c r="F63" i="1"/>
  <c r="G63" i="1" s="1"/>
  <c r="H63" i="1" s="1"/>
  <c r="F47" i="1"/>
  <c r="F33" i="1"/>
  <c r="G33" i="1" s="1"/>
  <c r="H33" i="1" s="1"/>
  <c r="F6" i="1"/>
  <c r="F64" i="1"/>
  <c r="G64" i="1" s="1"/>
  <c r="H64" i="1" s="1"/>
  <c r="F62" i="1"/>
  <c r="F38" i="1"/>
  <c r="G38" i="1" s="1"/>
  <c r="H38" i="1" s="1"/>
  <c r="F32" i="1"/>
  <c r="F18" i="1"/>
  <c r="G18" i="1" s="1"/>
  <c r="H18" i="1" s="1"/>
  <c r="F69" i="1"/>
  <c r="F55" i="1"/>
  <c r="G55" i="1" s="1"/>
  <c r="H55" i="1" s="1"/>
  <c r="F36" i="1"/>
  <c r="F21" i="1"/>
  <c r="G21" i="1" s="1"/>
  <c r="H21" i="1" s="1"/>
  <c r="F13" i="1"/>
  <c r="F74" i="1"/>
  <c r="G74" i="1" s="1"/>
  <c r="H74" i="1" s="1"/>
  <c r="F54" i="1"/>
  <c r="F44" i="1"/>
  <c r="G44" i="1" s="1"/>
  <c r="H44" i="1" s="1"/>
  <c r="F23" i="1"/>
  <c r="F7" i="1"/>
  <c r="G7" i="1" s="1"/>
  <c r="H7" i="1" s="1"/>
  <c r="F123" i="1"/>
  <c r="F110" i="1"/>
  <c r="G110" i="1" s="1"/>
  <c r="H110" i="1" s="1"/>
  <c r="F88" i="1"/>
  <c r="F95" i="1"/>
  <c r="G95" i="1" s="1"/>
  <c r="H95" i="1" s="1"/>
  <c r="F128" i="1"/>
  <c r="F98" i="1"/>
  <c r="G98" i="1" s="1"/>
  <c r="H98" i="1" s="1"/>
  <c r="F111" i="1"/>
  <c r="F81" i="1"/>
  <c r="G81" i="1" s="1"/>
  <c r="H81" i="1" s="1"/>
  <c r="F119" i="1"/>
  <c r="F116" i="1"/>
  <c r="G116" i="1" s="1"/>
  <c r="H116" i="1" s="1"/>
  <c r="F122" i="1"/>
  <c r="F101" i="1"/>
  <c r="G101" i="1" s="1"/>
  <c r="H101" i="1" s="1"/>
  <c r="F103" i="1"/>
  <c r="F79" i="1"/>
  <c r="G79" i="1" s="1"/>
  <c r="H79" i="1" s="1"/>
  <c r="F125" i="1"/>
  <c r="F92" i="1"/>
  <c r="G92" i="1" s="1"/>
  <c r="H92" i="1" s="1"/>
  <c r="F106" i="1"/>
  <c r="F84" i="1"/>
  <c r="G84" i="1" s="1"/>
  <c r="H84" i="1" s="1"/>
  <c r="F130" i="1"/>
  <c r="F107" i="1"/>
  <c r="G107" i="1" s="1"/>
  <c r="H107" i="1" s="1"/>
  <c r="F86" i="1"/>
  <c r="F94" i="1"/>
  <c r="G94" i="1" s="1"/>
  <c r="H94" i="1" s="1"/>
  <c r="H70" i="1" l="1"/>
  <c r="H34" i="1"/>
  <c r="G20" i="1"/>
  <c r="H20" i="1" s="1"/>
  <c r="G75" i="1"/>
  <c r="H75" i="1" s="1"/>
  <c r="H29" i="1"/>
  <c r="G52" i="1"/>
  <c r="H52" i="1" s="1"/>
  <c r="H40" i="1"/>
  <c r="G23" i="1"/>
  <c r="H23" i="1" s="1"/>
  <c r="G54" i="1"/>
  <c r="H54" i="1" s="1"/>
  <c r="G13" i="1"/>
  <c r="H13" i="1" s="1"/>
  <c r="G36" i="1"/>
  <c r="H36" i="1" s="1"/>
  <c r="G69" i="1"/>
  <c r="H69" i="1" s="1"/>
  <c r="G32" i="1"/>
  <c r="H32" i="1" s="1"/>
  <c r="G62" i="1"/>
  <c r="H62" i="1" s="1"/>
  <c r="G6" i="1"/>
  <c r="H6" i="1" s="1"/>
  <c r="G47" i="1"/>
  <c r="H47" i="1" s="1"/>
  <c r="G65" i="1"/>
  <c r="H65" i="1" s="1"/>
  <c r="G27" i="1"/>
  <c r="H27" i="1" s="1"/>
  <c r="G51" i="1"/>
  <c r="H51" i="1" s="1"/>
  <c r="G10" i="1"/>
  <c r="H10" i="1" s="1"/>
  <c r="G39" i="1"/>
  <c r="H39" i="1" s="1"/>
  <c r="G73" i="1"/>
  <c r="H73" i="1" s="1"/>
  <c r="G22" i="1"/>
  <c r="H22" i="1" s="1"/>
  <c r="G57" i="1"/>
  <c r="H57" i="1" s="1"/>
  <c r="G19" i="1"/>
  <c r="H19" i="1" s="1"/>
  <c r="G42" i="1"/>
  <c r="H42" i="1" s="1"/>
  <c r="G71" i="1"/>
  <c r="H71" i="1" s="1"/>
  <c r="G28" i="1"/>
  <c r="H28" i="1" s="1"/>
  <c r="G56" i="1"/>
  <c r="H56" i="1" s="1"/>
  <c r="G15" i="1"/>
  <c r="H15" i="1" s="1"/>
  <c r="G46" i="1"/>
  <c r="H46" i="1" s="1"/>
  <c r="G67" i="1"/>
  <c r="H67" i="1" s="1"/>
  <c r="G25" i="1"/>
  <c r="H25" i="1" s="1"/>
  <c r="G59" i="1"/>
  <c r="H59" i="1" s="1"/>
  <c r="G86" i="1"/>
  <c r="H86" i="1" s="1"/>
  <c r="G130" i="1"/>
  <c r="H130" i="1" s="1"/>
  <c r="G106" i="1"/>
  <c r="H106" i="1" s="1"/>
  <c r="G125" i="1"/>
  <c r="H125" i="1" s="1"/>
  <c r="G103" i="1"/>
  <c r="H103" i="1" s="1"/>
  <c r="G122" i="1"/>
  <c r="H122" i="1" s="1"/>
  <c r="G119" i="1"/>
  <c r="H119" i="1" s="1"/>
  <c r="G111" i="1"/>
  <c r="H111" i="1" s="1"/>
  <c r="G128" i="1"/>
  <c r="H128" i="1" s="1"/>
  <c r="G88" i="1"/>
  <c r="H88" i="1" s="1"/>
  <c r="G123" i="1"/>
  <c r="H123" i="1" s="1"/>
  <c r="F104" i="1" l="1"/>
  <c r="F99" i="1"/>
  <c r="F120" i="1"/>
  <c r="F114" i="1"/>
  <c r="F129" i="1"/>
  <c r="F87" i="1"/>
  <c r="F113" i="1"/>
  <c r="F90" i="1"/>
  <c r="F117" i="1"/>
  <c r="F93" i="1"/>
  <c r="F85" i="1"/>
  <c r="F108" i="1"/>
  <c r="F131" i="1"/>
  <c r="F83" i="1"/>
  <c r="F105" i="1"/>
  <c r="F91" i="1"/>
  <c r="F126" i="1"/>
  <c r="F78" i="1"/>
  <c r="F102" i="1"/>
  <c r="F100" i="1"/>
  <c r="F121" i="1"/>
  <c r="F115" i="1"/>
  <c r="F118" i="1"/>
  <c r="F80" i="1"/>
  <c r="F112" i="1"/>
  <c r="F97" i="1"/>
  <c r="F127" i="1"/>
  <c r="F96" i="1"/>
  <c r="F89" i="1"/>
  <c r="F109" i="1"/>
  <c r="F124" i="1"/>
  <c r="F82" i="1"/>
  <c r="G82" i="1" l="1"/>
  <c r="H82" i="1" s="1"/>
  <c r="G91" i="1"/>
  <c r="H91" i="1" s="1"/>
  <c r="G118" i="1"/>
  <c r="H118" i="1" s="1"/>
  <c r="G113" i="1"/>
  <c r="H113" i="1" s="1"/>
  <c r="G115" i="1"/>
  <c r="H115" i="1" s="1"/>
  <c r="G89" i="1"/>
  <c r="H89" i="1" s="1"/>
  <c r="G96" i="1"/>
  <c r="H96" i="1" s="1"/>
  <c r="G108" i="1"/>
  <c r="H108" i="1" s="1"/>
  <c r="G102" i="1"/>
  <c r="H102" i="1" s="1"/>
  <c r="G93" i="1"/>
  <c r="H93" i="1" s="1"/>
  <c r="G80" i="1"/>
  <c r="H80" i="1" s="1"/>
  <c r="G90" i="1"/>
  <c r="H90" i="1" s="1"/>
  <c r="G124" i="1"/>
  <c r="H124" i="1" s="1"/>
  <c r="G105" i="1"/>
  <c r="H105" i="1" s="1"/>
  <c r="G109" i="1"/>
  <c r="H109" i="1" s="1"/>
  <c r="G83" i="1"/>
  <c r="H83" i="1" s="1"/>
  <c r="G87" i="1"/>
  <c r="H87" i="1" s="1"/>
  <c r="G121" i="1"/>
  <c r="H121" i="1" s="1"/>
  <c r="G131" i="1"/>
  <c r="H131" i="1"/>
  <c r="G129" i="1"/>
  <c r="H129" i="1" s="1"/>
  <c r="G100" i="1"/>
  <c r="H100" i="1" s="1"/>
  <c r="G114" i="1"/>
  <c r="H114" i="1" s="1"/>
  <c r="G127" i="1"/>
  <c r="H127" i="1" s="1"/>
  <c r="G85" i="1"/>
  <c r="H85" i="1" s="1"/>
  <c r="G120" i="1"/>
  <c r="H120" i="1" s="1"/>
  <c r="G97" i="1"/>
  <c r="H97" i="1" s="1"/>
  <c r="G78" i="1"/>
  <c r="H78" i="1" s="1"/>
  <c r="G112" i="1"/>
  <c r="H112" i="1" s="1"/>
  <c r="G126" i="1"/>
  <c r="H126" i="1" s="1"/>
  <c r="G117" i="1"/>
  <c r="H117" i="1" s="1"/>
  <c r="G104" i="1"/>
  <c r="H104" i="1" s="1"/>
  <c r="G99" i="1"/>
  <c r="H99" i="1" s="1"/>
  <c r="O14" i="1"/>
  <c r="O28" i="1"/>
</calcChain>
</file>

<file path=xl/sharedStrings.xml><?xml version="1.0" encoding="utf-8"?>
<sst xmlns="http://schemas.openxmlformats.org/spreadsheetml/2006/main" count="551" uniqueCount="54">
  <si>
    <t>Producto</t>
  </si>
  <si>
    <t>Articulo A</t>
  </si>
  <si>
    <t>Articulo B</t>
  </si>
  <si>
    <t>Articulo C</t>
  </si>
  <si>
    <t>Articulo D</t>
  </si>
  <si>
    <t>Articulo E</t>
  </si>
  <si>
    <t>Articulo F</t>
  </si>
  <si>
    <t>Articulo G</t>
  </si>
  <si>
    <t>Articulo H</t>
  </si>
  <si>
    <t>CERVEZA</t>
  </si>
  <si>
    <t>COMPLETO</t>
  </si>
  <si>
    <t>PAPAS FRITAS</t>
  </si>
  <si>
    <t>MOJITO</t>
  </si>
  <si>
    <t>PIZZA</t>
  </si>
  <si>
    <t>PISCOLA</t>
  </si>
  <si>
    <t>MICHELADA</t>
  </si>
  <si>
    <t>TEQUILA</t>
  </si>
  <si>
    <t>VENTA DE PRODUCTOS</t>
  </si>
  <si>
    <t>Precio X Unid.</t>
  </si>
  <si>
    <t>I.V.A</t>
  </si>
  <si>
    <t>Nombre Producto</t>
  </si>
  <si>
    <t>Unid.Vendida</t>
  </si>
  <si>
    <t>Fecha Venta</t>
  </si>
  <si>
    <t>Vendedor</t>
  </si>
  <si>
    <t>VEND1</t>
  </si>
  <si>
    <t>VEND2</t>
  </si>
  <si>
    <t>VEND3</t>
  </si>
  <si>
    <t>IVA</t>
  </si>
  <si>
    <t>Ventas Netas</t>
  </si>
  <si>
    <t>VEND4</t>
  </si>
  <si>
    <t>Ventas Totales</t>
  </si>
  <si>
    <t>Sucursal</t>
  </si>
  <si>
    <t>S1</t>
  </si>
  <si>
    <t>S2</t>
  </si>
  <si>
    <t>S3</t>
  </si>
  <si>
    <t>VEND5</t>
  </si>
  <si>
    <t>VEND6</t>
  </si>
  <si>
    <t>VEND7</t>
  </si>
  <si>
    <t>Nro. Boleta</t>
  </si>
  <si>
    <t>INFORME RENDICION DE C A J A    D I A R I O</t>
  </si>
  <si>
    <t>CAJA NRO :</t>
  </si>
  <si>
    <t xml:space="preserve">DESDE EL </t>
  </si>
  <si>
    <t xml:space="preserve">HASTA EL </t>
  </si>
  <si>
    <t>DETALLE</t>
  </si>
  <si>
    <t>VALOR NETO</t>
  </si>
  <si>
    <t>SUBTOTAL</t>
  </si>
  <si>
    <t>I.V.A. (D.F)</t>
  </si>
  <si>
    <t>BOLETA DESDE</t>
  </si>
  <si>
    <t>BOLETA HASTA</t>
  </si>
  <si>
    <t>Total general</t>
  </si>
  <si>
    <t>/01</t>
  </si>
  <si>
    <t>Etiquetas de fila</t>
  </si>
  <si>
    <t>Suma de Ventas Netas</t>
  </si>
  <si>
    <t>Suma de Ventas Totales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</si>
</sst>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Bahnschrift"/>
      <family val="2"/>
    </font>
    <font>
      <b/>
      <u val="double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9" fontId="0" fillId="0" borderId="0" xfId="0" applyNumberFormat="1"/>
    <xf numFmtId="0" fontId="0" fillId="0" borderId="1" xfId="0" applyBorder="1"/>
    <xf numFmtId="0" fontId="0" fillId="0" borderId="2" xfId="0" applyBorder="1"/>
    <xf numFmtId="164" fontId="0" fillId="0" borderId="2" xfId="0" applyNumberFormat="1" applyBorder="1"/>
    <xf numFmtId="164" fontId="0" fillId="0" borderId="1" xfId="0" applyNumberFormat="1" applyBorder="1"/>
    <xf numFmtId="0" fontId="0" fillId="0" borderId="2" xfId="0" applyFill="1" applyBorder="1"/>
    <xf numFmtId="0" fontId="0" fillId="0" borderId="1" xfId="0" applyFill="1" applyBorder="1"/>
    <xf numFmtId="14" fontId="0" fillId="0" borderId="1" xfId="0" applyNumberFormat="1" applyBorder="1"/>
    <xf numFmtId="14" fontId="0" fillId="0" borderId="2" xfId="0" applyNumberFormat="1" applyBorder="1"/>
    <xf numFmtId="9" fontId="1" fillId="0" borderId="0" xfId="0" applyNumberFormat="1" applyFont="1"/>
    <xf numFmtId="164" fontId="0" fillId="2" borderId="2" xfId="0" applyNumberFormat="1" applyFill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3" fontId="0" fillId="0" borderId="2" xfId="0" applyNumberFormat="1" applyBorder="1"/>
    <xf numFmtId="3" fontId="0" fillId="0" borderId="1" xfId="0" applyNumberFormat="1" applyBorder="1"/>
    <xf numFmtId="0" fontId="5" fillId="0" borderId="6" xfId="0" applyFont="1" applyBorder="1" applyAlignment="1">
      <alignment horizontal="left"/>
    </xf>
    <xf numFmtId="0" fontId="5" fillId="0" borderId="7" xfId="0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0" fillId="0" borderId="0" xfId="0" applyAlignment="1">
      <alignment horizontal="right"/>
    </xf>
    <xf numFmtId="0" fontId="6" fillId="0" borderId="6" xfId="0" applyFont="1" applyBorder="1" applyAlignment="1">
      <alignment horizontal="left" indent="4"/>
    </xf>
    <xf numFmtId="0" fontId="6" fillId="0" borderId="7" xfId="0" applyFont="1" applyBorder="1" applyAlignment="1">
      <alignment horizontal="left" indent="4"/>
    </xf>
    <xf numFmtId="0" fontId="6" fillId="0" borderId="8" xfId="0" applyFont="1" applyBorder="1" applyAlignment="1">
      <alignment horizontal="left" indent="4"/>
    </xf>
    <xf numFmtId="0" fontId="0" fillId="0" borderId="0" xfId="0" applyAlignment="1">
      <alignment horizontal="left"/>
    </xf>
    <xf numFmtId="3" fontId="0" fillId="0" borderId="0" xfId="0" applyNumberFormat="1"/>
    <xf numFmtId="3" fontId="4" fillId="3" borderId="9" xfId="0" applyNumberFormat="1" applyFont="1" applyFill="1" applyBorder="1"/>
    <xf numFmtId="3" fontId="4" fillId="0" borderId="0" xfId="0" applyNumberFormat="1" applyFont="1"/>
    <xf numFmtId="0" fontId="4" fillId="3" borderId="9" xfId="0" applyFont="1" applyFill="1" applyBorder="1" applyAlignment="1">
      <alignment horizontal="left"/>
    </xf>
    <xf numFmtId="0" fontId="0" fillId="0" borderId="0" xfId="0" applyNumberFormat="1"/>
    <xf numFmtId="164" fontId="0" fillId="0" borderId="0" xfId="0" applyNumberFormat="1"/>
    <xf numFmtId="14" fontId="0" fillId="3" borderId="10" xfId="0" applyNumberFormat="1" applyFill="1" applyBorder="1" applyAlignment="1">
      <alignment horizontal="left"/>
    </xf>
    <xf numFmtId="0" fontId="4" fillId="3" borderId="9" xfId="0" applyNumberFormat="1" applyFont="1" applyFill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  <numFmt numFmtId="164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  <numFmt numFmtId="164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  <numFmt numFmtId="164" formatCode="&quot;$&quot;#,##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  <numFmt numFmtId="164" formatCode="&quot;$&quot;#,##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  <numFmt numFmtId="164" formatCode="&quot;$&quot;#,##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</border>
    </dxf>
    <dxf>
      <border outline="0"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676275</xdr:colOff>
      <xdr:row>4</xdr:row>
      <xdr:rowOff>114300</xdr:rowOff>
    </xdr:from>
    <xdr:to>
      <xdr:col>10</xdr:col>
      <xdr:colOff>123825</xdr:colOff>
      <xdr:row>5</xdr:row>
      <xdr:rowOff>228600</xdr:rowOff>
    </xdr:to>
    <xdr:sp macro="[0]!CAJA2" textlink="">
      <xdr:nvSpPr>
        <xdr:cNvPr id="2" name="Rectángulo: esquinas superiores, una redondeada y la otra cortada 1">
          <a:extLst>
            <a:ext uri="{FF2B5EF4-FFF2-40B4-BE49-F238E27FC236}">
              <a16:creationId xmlns:a16="http://schemas.microsoft.com/office/drawing/2014/main" id="{5F062478-DF9B-47BC-9413-201B85A92D05}"/>
            </a:ext>
          </a:extLst>
        </xdr:cNvPr>
        <xdr:cNvSpPr/>
      </xdr:nvSpPr>
      <xdr:spPr>
        <a:xfrm>
          <a:off x="7667625" y="1352550"/>
          <a:ext cx="971550" cy="314325"/>
        </a:xfrm>
        <a:prstGeom prst="snip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RENDICION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tricio G. Molina Moreno" refreshedDate="45615.719854976851" createdVersion="7" refreshedVersion="7" minRefreshableVersion="3" recordCount="126" xr:uid="{A966BB3C-EDE3-4AF0-A9FE-53ADEC941CE0}">
  <cacheSource type="worksheet">
    <worksheetSource name="VENTA_PROD"/>
  </cacheSource>
  <cacheFields count="11">
    <cacheField name="Producto" numFmtId="0">
      <sharedItems/>
    </cacheField>
    <cacheField name="Nombre Producto" numFmtId="0">
      <sharedItems count="8">
        <s v="COMPLETO"/>
        <s v="MOJITO"/>
        <s v="PIZZA"/>
        <s v="PISCOLA"/>
        <s v="MICHELADA"/>
        <s v="TEQUILA"/>
        <s v="CERVEZA"/>
        <s v="PAPAS FRITAS"/>
      </sharedItems>
    </cacheField>
    <cacheField name="Unid.Vendida" numFmtId="0">
      <sharedItems containsSemiMixedTypes="0" containsString="0" containsNumber="1" containsInteger="1" minValue="1" maxValue="100"/>
    </cacheField>
    <cacheField name="Precio X Unid." numFmtId="164">
      <sharedItems containsSemiMixedTypes="0" containsString="0" containsNumber="1" containsInteger="1" minValue="4600" maxValue="22500"/>
    </cacheField>
    <cacheField name="Ventas Netas" numFmtId="164">
      <sharedItems containsSemiMixedTypes="0" containsString="0" containsNumber="1" containsInteger="1" minValue="10000" maxValue="2227500"/>
    </cacheField>
    <cacheField name="I.V.A" numFmtId="164">
      <sharedItems containsSemiMixedTypes="0" containsString="0" containsNumber="1" containsInteger="1" minValue="1900" maxValue="423225"/>
    </cacheField>
    <cacheField name="Ventas Totales" numFmtId="164">
      <sharedItems containsSemiMixedTypes="0" containsString="0" containsNumber="1" containsInteger="1" minValue="11900" maxValue="2650725"/>
    </cacheField>
    <cacheField name="Sucursal" numFmtId="164">
      <sharedItems/>
    </cacheField>
    <cacheField name="Vendedor" numFmtId="0">
      <sharedItems/>
    </cacheField>
    <cacheField name="Nro. Boleta" numFmtId="3">
      <sharedItems containsSemiMixedTypes="0" containsString="0" containsNumber="1" containsInteger="1" minValue="1" maxValue="126"/>
    </cacheField>
    <cacheField name="Fecha Venta" numFmtId="14">
      <sharedItems containsSemiMixedTypes="0" containsNonDate="0" containsDate="1" containsString="0" minDate="2022-07-20T00:00:00" maxDate="2022-08-16T00:00:00" count="11">
        <d v="2022-07-20T00:00:00"/>
        <d v="2022-07-21T00:00:00"/>
        <d v="2022-07-22T00:00:00"/>
        <d v="2022-07-23T00:00:00"/>
        <d v="2022-07-24T00:00:00"/>
        <d v="2022-08-10T00:00:00"/>
        <d v="2022-08-11T00:00:00"/>
        <d v="2022-08-12T00:00:00"/>
        <d v="2022-08-13T00:00:00"/>
        <d v="2022-08-14T00:00:00"/>
        <d v="2022-08-15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s v="Articulo B"/>
    <x v="0"/>
    <n v="13"/>
    <n v="7800"/>
    <n v="101400"/>
    <n v="19266"/>
    <n v="120666"/>
    <s v="S1"/>
    <s v="VEND1"/>
    <n v="1"/>
    <x v="0"/>
  </r>
  <r>
    <s v="Articulo D"/>
    <x v="1"/>
    <n v="10"/>
    <n v="9600"/>
    <n v="96000"/>
    <n v="18240"/>
    <n v="114240"/>
    <s v="S1"/>
    <s v="VEND1"/>
    <n v="2"/>
    <x v="0"/>
  </r>
  <r>
    <s v="Articulo D"/>
    <x v="1"/>
    <n v="23"/>
    <n v="9600"/>
    <n v="220800"/>
    <n v="41952"/>
    <n v="262752"/>
    <s v="S3"/>
    <s v="VEND6"/>
    <n v="3"/>
    <x v="0"/>
  </r>
  <r>
    <s v="Articulo D"/>
    <x v="1"/>
    <n v="44"/>
    <n v="9600"/>
    <n v="422400"/>
    <n v="80256"/>
    <n v="502656"/>
    <s v="S3"/>
    <s v="VEND6"/>
    <n v="4"/>
    <x v="0"/>
  </r>
  <r>
    <s v="Articulo D"/>
    <x v="1"/>
    <n v="50"/>
    <n v="9600"/>
    <n v="480000"/>
    <n v="91200"/>
    <n v="571200"/>
    <s v="S2"/>
    <s v="VEND5"/>
    <n v="5"/>
    <x v="0"/>
  </r>
  <r>
    <s v="Articulo E"/>
    <x v="2"/>
    <n v="13"/>
    <n v="10500"/>
    <n v="136500"/>
    <n v="25935"/>
    <n v="162435"/>
    <s v="S3"/>
    <s v="VEND6"/>
    <n v="6"/>
    <x v="0"/>
  </r>
  <r>
    <s v="Articulo E"/>
    <x v="2"/>
    <n v="22"/>
    <n v="10500"/>
    <n v="231000"/>
    <n v="43890"/>
    <n v="274890"/>
    <s v="S3"/>
    <s v="VEND6"/>
    <n v="7"/>
    <x v="0"/>
  </r>
  <r>
    <s v="Articulo F"/>
    <x v="3"/>
    <n v="23"/>
    <n v="5000"/>
    <n v="115000"/>
    <n v="21850"/>
    <n v="136850"/>
    <s v="S1"/>
    <s v="VEND3"/>
    <n v="8"/>
    <x v="0"/>
  </r>
  <r>
    <s v="Articulo F"/>
    <x v="3"/>
    <n v="30"/>
    <n v="5000"/>
    <n v="150000"/>
    <n v="28500"/>
    <n v="178500"/>
    <s v="S2"/>
    <s v="VEND4"/>
    <n v="9"/>
    <x v="0"/>
  </r>
  <r>
    <s v="Articulo G"/>
    <x v="4"/>
    <n v="15"/>
    <n v="4600"/>
    <n v="69000"/>
    <n v="13110"/>
    <n v="82110"/>
    <s v="S3"/>
    <s v="VEND7"/>
    <n v="10"/>
    <x v="0"/>
  </r>
  <r>
    <s v="Articulo G"/>
    <x v="4"/>
    <n v="44"/>
    <n v="4600"/>
    <n v="202400"/>
    <n v="38456"/>
    <n v="240856"/>
    <s v="S3"/>
    <s v="VEND7"/>
    <n v="11"/>
    <x v="0"/>
  </r>
  <r>
    <s v="Articulo H"/>
    <x v="5"/>
    <n v="6"/>
    <n v="4900"/>
    <n v="29400"/>
    <n v="5586"/>
    <n v="34986"/>
    <s v="S2"/>
    <s v="VEND4"/>
    <n v="12"/>
    <x v="0"/>
  </r>
  <r>
    <s v="Articulo H"/>
    <x v="5"/>
    <n v="21"/>
    <n v="4900"/>
    <n v="102900"/>
    <n v="19551"/>
    <n v="122451"/>
    <s v="S1"/>
    <s v="VEND2"/>
    <n v="13"/>
    <x v="0"/>
  </r>
  <r>
    <s v="Articulo H"/>
    <x v="5"/>
    <n v="54"/>
    <n v="4900"/>
    <n v="264600"/>
    <n v="50274"/>
    <n v="314874"/>
    <s v="S2"/>
    <s v="VEND5"/>
    <n v="14"/>
    <x v="0"/>
  </r>
  <r>
    <s v="Articulo A"/>
    <x v="6"/>
    <n v="4"/>
    <n v="5500"/>
    <n v="22000"/>
    <n v="4180"/>
    <n v="26180"/>
    <s v="S3"/>
    <s v="VEND6"/>
    <n v="15"/>
    <x v="1"/>
  </r>
  <r>
    <s v="Articulo A"/>
    <x v="6"/>
    <n v="21"/>
    <n v="5500"/>
    <n v="115500"/>
    <n v="21945"/>
    <n v="137445"/>
    <s v="S1"/>
    <s v="VEND1"/>
    <n v="16"/>
    <x v="1"/>
  </r>
  <r>
    <s v="Articulo A"/>
    <x v="6"/>
    <n v="21"/>
    <n v="5500"/>
    <n v="115500"/>
    <n v="21945"/>
    <n v="137445"/>
    <s v="S2"/>
    <s v="VEND5"/>
    <n v="17"/>
    <x v="1"/>
  </r>
  <r>
    <s v="Articulo C"/>
    <x v="7"/>
    <n v="12"/>
    <n v="22500"/>
    <n v="270000"/>
    <n v="51300"/>
    <n v="321300"/>
    <s v="S1"/>
    <s v="VEND2"/>
    <n v="18"/>
    <x v="1"/>
  </r>
  <r>
    <s v="Articulo C"/>
    <x v="7"/>
    <n v="30"/>
    <n v="22500"/>
    <n v="675000"/>
    <n v="128250"/>
    <n v="803250"/>
    <s v="S2"/>
    <s v="VEND4"/>
    <n v="19"/>
    <x v="1"/>
  </r>
  <r>
    <s v="Articulo C"/>
    <x v="7"/>
    <n v="33"/>
    <n v="22500"/>
    <n v="742500"/>
    <n v="141075"/>
    <n v="883575"/>
    <s v="S3"/>
    <s v="VEND7"/>
    <n v="20"/>
    <x v="1"/>
  </r>
  <r>
    <s v="Articulo C"/>
    <x v="7"/>
    <n v="99"/>
    <n v="22500"/>
    <n v="2227500"/>
    <n v="423225"/>
    <n v="2650725"/>
    <s v="S3"/>
    <s v="VEND7"/>
    <n v="21"/>
    <x v="1"/>
  </r>
  <r>
    <s v="Articulo E"/>
    <x v="2"/>
    <n v="9"/>
    <n v="10500"/>
    <n v="94500"/>
    <n v="17955"/>
    <n v="112455"/>
    <s v="S2"/>
    <s v="VEND5"/>
    <n v="22"/>
    <x v="1"/>
  </r>
  <r>
    <s v="Articulo E"/>
    <x v="2"/>
    <n v="15"/>
    <n v="10500"/>
    <n v="157500"/>
    <n v="29925"/>
    <n v="187425"/>
    <s v="S3"/>
    <s v="VEND7"/>
    <n v="23"/>
    <x v="1"/>
  </r>
  <r>
    <s v="Articulo E"/>
    <x v="2"/>
    <n v="17"/>
    <n v="10500"/>
    <n v="178500"/>
    <n v="33915"/>
    <n v="212415"/>
    <s v="S3"/>
    <s v="VEND6"/>
    <n v="24"/>
    <x v="1"/>
  </r>
  <r>
    <s v="Articulo E"/>
    <x v="2"/>
    <n v="22"/>
    <n v="10500"/>
    <n v="231000"/>
    <n v="43890"/>
    <n v="274890"/>
    <s v="S3"/>
    <s v="VEND6"/>
    <n v="25"/>
    <x v="1"/>
  </r>
  <r>
    <s v="Articulo E"/>
    <x v="2"/>
    <n v="66"/>
    <n v="10500"/>
    <n v="693000"/>
    <n v="131670"/>
    <n v="824670"/>
    <s v="S3"/>
    <s v="VEND7"/>
    <n v="26"/>
    <x v="1"/>
  </r>
  <r>
    <s v="Articulo F"/>
    <x v="3"/>
    <n v="21"/>
    <n v="5000"/>
    <n v="105000"/>
    <n v="19950"/>
    <n v="124950"/>
    <s v="S1"/>
    <s v="VEND3"/>
    <n v="27"/>
    <x v="1"/>
  </r>
  <r>
    <s v="Articulo H"/>
    <x v="5"/>
    <n v="14"/>
    <n v="4900"/>
    <n v="68600"/>
    <n v="13034"/>
    <n v="81634"/>
    <s v="S1"/>
    <s v="VEND2"/>
    <n v="28"/>
    <x v="1"/>
  </r>
  <r>
    <s v="Articulo B"/>
    <x v="0"/>
    <n v="21"/>
    <n v="7800"/>
    <n v="163800"/>
    <n v="31122"/>
    <n v="194922"/>
    <s v="S3"/>
    <s v="VEND6"/>
    <n v="29"/>
    <x v="2"/>
  </r>
  <r>
    <s v="Articulo B"/>
    <x v="0"/>
    <n v="77"/>
    <n v="7800"/>
    <n v="600600"/>
    <n v="114114"/>
    <n v="714714"/>
    <s v="S3"/>
    <s v="VEND6"/>
    <n v="30"/>
    <x v="2"/>
  </r>
  <r>
    <s v="Articulo C"/>
    <x v="7"/>
    <n v="22"/>
    <n v="22500"/>
    <n v="495000"/>
    <n v="94050"/>
    <n v="589050"/>
    <s v="S1"/>
    <s v="VEND2"/>
    <n v="31"/>
    <x v="2"/>
  </r>
  <r>
    <s v="Articulo C"/>
    <x v="7"/>
    <n v="22"/>
    <n v="22500"/>
    <n v="495000"/>
    <n v="94050"/>
    <n v="589050"/>
    <s v="S2"/>
    <s v="VEND4"/>
    <n v="32"/>
    <x v="2"/>
  </r>
  <r>
    <s v="Articulo E"/>
    <x v="2"/>
    <n v="1"/>
    <n v="10500"/>
    <n v="10500"/>
    <n v="1995"/>
    <n v="12495"/>
    <s v="S1"/>
    <s v="VEND1"/>
    <n v="33"/>
    <x v="2"/>
  </r>
  <r>
    <s v="Articulo F"/>
    <x v="3"/>
    <n v="37"/>
    <n v="5000"/>
    <n v="185000"/>
    <n v="35150"/>
    <n v="220150"/>
    <s v="S2"/>
    <s v="VEND5"/>
    <n v="34"/>
    <x v="2"/>
  </r>
  <r>
    <s v="Articulo F"/>
    <x v="3"/>
    <n v="45"/>
    <n v="5000"/>
    <n v="225000"/>
    <n v="42750"/>
    <n v="267750"/>
    <s v="S3"/>
    <s v="VEND6"/>
    <n v="35"/>
    <x v="2"/>
  </r>
  <r>
    <s v="Articulo F"/>
    <x v="3"/>
    <n v="45"/>
    <n v="5000"/>
    <n v="225000"/>
    <n v="42750"/>
    <n v="267750"/>
    <s v="S3"/>
    <s v="VEND6"/>
    <n v="36"/>
    <x v="2"/>
  </r>
  <r>
    <s v="Articulo G"/>
    <x v="4"/>
    <n v="6"/>
    <n v="4600"/>
    <n v="27600"/>
    <n v="5244"/>
    <n v="32844"/>
    <s v="S3"/>
    <s v="VEND7"/>
    <n v="37"/>
    <x v="2"/>
  </r>
  <r>
    <s v="Articulo G"/>
    <x v="4"/>
    <n v="11"/>
    <n v="4600"/>
    <n v="50600"/>
    <n v="9614"/>
    <n v="60214"/>
    <s v="S3"/>
    <s v="VEND7"/>
    <n v="38"/>
    <x v="2"/>
  </r>
  <r>
    <s v="Articulo G"/>
    <x v="4"/>
    <n v="12"/>
    <n v="4600"/>
    <n v="55200"/>
    <n v="10488"/>
    <n v="65688"/>
    <s v="S1"/>
    <s v="VEND3"/>
    <n v="39"/>
    <x v="2"/>
  </r>
  <r>
    <s v="Articulo G"/>
    <x v="4"/>
    <n v="17"/>
    <n v="4600"/>
    <n v="78200"/>
    <n v="14858"/>
    <n v="93058"/>
    <s v="S2"/>
    <s v="VEND4"/>
    <n v="40"/>
    <x v="2"/>
  </r>
  <r>
    <s v="Articulo G"/>
    <x v="4"/>
    <n v="22"/>
    <n v="4600"/>
    <n v="101200"/>
    <n v="19228"/>
    <n v="120428"/>
    <s v="S3"/>
    <s v="VEND7"/>
    <n v="41"/>
    <x v="2"/>
  </r>
  <r>
    <s v="Articulo G"/>
    <x v="4"/>
    <n v="33"/>
    <n v="4600"/>
    <n v="151800"/>
    <n v="28842"/>
    <n v="180642"/>
    <s v="S1"/>
    <s v="VEND3"/>
    <n v="42"/>
    <x v="2"/>
  </r>
  <r>
    <s v="Articulo G"/>
    <x v="4"/>
    <n v="34"/>
    <n v="4600"/>
    <n v="156400"/>
    <n v="29716"/>
    <n v="186116"/>
    <s v="S3"/>
    <s v="VEND7"/>
    <n v="43"/>
    <x v="2"/>
  </r>
  <r>
    <s v="Articulo A"/>
    <x v="6"/>
    <n v="5"/>
    <n v="5500"/>
    <n v="27500"/>
    <n v="5225"/>
    <n v="32725"/>
    <s v="S3"/>
    <s v="VEND6"/>
    <n v="44"/>
    <x v="3"/>
  </r>
  <r>
    <s v="Articulo A"/>
    <x v="6"/>
    <n v="9"/>
    <n v="5500"/>
    <n v="49500"/>
    <n v="9405"/>
    <n v="58905"/>
    <s v="S3"/>
    <s v="VEND6"/>
    <n v="45"/>
    <x v="3"/>
  </r>
  <r>
    <s v="Articulo A"/>
    <x v="6"/>
    <n v="22"/>
    <n v="5500"/>
    <n v="121000"/>
    <n v="22990"/>
    <n v="143990"/>
    <s v="S2"/>
    <s v="VEND5"/>
    <n v="46"/>
    <x v="3"/>
  </r>
  <r>
    <s v="Articulo A"/>
    <x v="6"/>
    <n v="21"/>
    <n v="5500"/>
    <n v="115500"/>
    <n v="21945"/>
    <n v="137445"/>
    <s v="S3"/>
    <s v="VEND6"/>
    <n v="47"/>
    <x v="3"/>
  </r>
  <r>
    <s v="Articulo A"/>
    <x v="6"/>
    <n v="44"/>
    <n v="5500"/>
    <n v="242000"/>
    <n v="45980"/>
    <n v="287980"/>
    <s v="S3"/>
    <s v="VEND6"/>
    <n v="48"/>
    <x v="3"/>
  </r>
  <r>
    <s v="Articulo B"/>
    <x v="0"/>
    <n v="13"/>
    <n v="7800"/>
    <n v="101400"/>
    <n v="19266"/>
    <n v="120666"/>
    <s v="S1"/>
    <s v="VEND1"/>
    <n v="49"/>
    <x v="3"/>
  </r>
  <r>
    <s v="Articulo B"/>
    <x v="0"/>
    <n v="20"/>
    <n v="7800"/>
    <n v="156000"/>
    <n v="29640"/>
    <n v="185640"/>
    <s v="S1"/>
    <s v="VEND3"/>
    <n v="50"/>
    <x v="3"/>
  </r>
  <r>
    <s v="Articulo B"/>
    <x v="0"/>
    <n v="23"/>
    <n v="7800"/>
    <n v="179400"/>
    <n v="34086"/>
    <n v="213486"/>
    <s v="S3"/>
    <s v="VEND7"/>
    <n v="51"/>
    <x v="3"/>
  </r>
  <r>
    <s v="Articulo B"/>
    <x v="0"/>
    <n v="55"/>
    <n v="7800"/>
    <n v="429000"/>
    <n v="81510"/>
    <n v="510510"/>
    <s v="S2"/>
    <s v="VEND5"/>
    <n v="52"/>
    <x v="3"/>
  </r>
  <r>
    <s v="Articulo B"/>
    <x v="0"/>
    <n v="88"/>
    <n v="7800"/>
    <n v="686400"/>
    <n v="130416"/>
    <n v="816816"/>
    <s v="S3"/>
    <s v="VEND7"/>
    <n v="53"/>
    <x v="3"/>
  </r>
  <r>
    <s v="Articulo D"/>
    <x v="1"/>
    <n v="23"/>
    <n v="9600"/>
    <n v="220800"/>
    <n v="41952"/>
    <n v="262752"/>
    <s v="S3"/>
    <s v="VEND7"/>
    <n v="54"/>
    <x v="3"/>
  </r>
  <r>
    <s v="Articulo D"/>
    <x v="1"/>
    <n v="44"/>
    <n v="9600"/>
    <n v="422400"/>
    <n v="80256"/>
    <n v="502656"/>
    <s v="S3"/>
    <s v="VEND7"/>
    <n v="55"/>
    <x v="3"/>
  </r>
  <r>
    <s v="Articulo D"/>
    <x v="1"/>
    <n v="59"/>
    <n v="9600"/>
    <n v="566400"/>
    <n v="107616"/>
    <n v="674016"/>
    <s v="S2"/>
    <s v="VEND4"/>
    <n v="56"/>
    <x v="3"/>
  </r>
  <r>
    <s v="Articulo E"/>
    <x v="2"/>
    <n v="15"/>
    <n v="10500"/>
    <n v="157500"/>
    <n v="29925"/>
    <n v="187425"/>
    <s v="S1"/>
    <s v="VEND2"/>
    <n v="57"/>
    <x v="3"/>
  </r>
  <r>
    <s v="Articulo F"/>
    <x v="3"/>
    <n v="45"/>
    <n v="5000"/>
    <n v="225000"/>
    <n v="42750"/>
    <n v="267750"/>
    <s v="S2"/>
    <s v="VEND4"/>
    <n v="58"/>
    <x v="3"/>
  </r>
  <r>
    <s v="Articulo B"/>
    <x v="0"/>
    <n v="17"/>
    <n v="7800"/>
    <n v="132600"/>
    <n v="25194"/>
    <n v="157794"/>
    <s v="S1"/>
    <s v="VEND3"/>
    <n v="59"/>
    <x v="4"/>
  </r>
  <r>
    <s v="Articulo C"/>
    <x v="7"/>
    <n v="34"/>
    <n v="22500"/>
    <n v="765000"/>
    <n v="145350"/>
    <n v="910350"/>
    <s v="S2"/>
    <s v="VEND5"/>
    <n v="60"/>
    <x v="4"/>
  </r>
  <r>
    <s v="Articulo D"/>
    <x v="1"/>
    <n v="29"/>
    <n v="9600"/>
    <n v="278400"/>
    <n v="52896"/>
    <n v="331296"/>
    <s v="S2"/>
    <s v="VEND4"/>
    <n v="61"/>
    <x v="4"/>
  </r>
  <r>
    <s v="Articulo D"/>
    <x v="1"/>
    <n v="54"/>
    <n v="9600"/>
    <n v="518400"/>
    <n v="98496"/>
    <n v="616896"/>
    <s v="S3"/>
    <s v="VEND7"/>
    <n v="62"/>
    <x v="4"/>
  </r>
  <r>
    <s v="Articulo D"/>
    <x v="1"/>
    <n v="88"/>
    <n v="9600"/>
    <n v="844800"/>
    <n v="160512"/>
    <n v="1005312"/>
    <s v="S3"/>
    <s v="VEND7"/>
    <n v="63"/>
    <x v="4"/>
  </r>
  <r>
    <s v="Articulo E"/>
    <x v="2"/>
    <n v="34"/>
    <n v="10500"/>
    <n v="357000"/>
    <n v="67830"/>
    <n v="424830"/>
    <s v="S1"/>
    <s v="VEND1"/>
    <n v="64"/>
    <x v="4"/>
  </r>
  <r>
    <s v="Articulo E"/>
    <x v="2"/>
    <n v="77"/>
    <n v="10500"/>
    <n v="808500"/>
    <n v="153615"/>
    <n v="962115"/>
    <s v="S2"/>
    <s v="VEND4"/>
    <n v="65"/>
    <x v="4"/>
  </r>
  <r>
    <s v="Articulo F"/>
    <x v="3"/>
    <n v="10"/>
    <n v="5000"/>
    <n v="50000"/>
    <n v="9500"/>
    <n v="59500"/>
    <s v="S3"/>
    <s v="VEND7"/>
    <n v="66"/>
    <x v="4"/>
  </r>
  <r>
    <s v="Articulo F"/>
    <x v="3"/>
    <n v="34"/>
    <n v="5000"/>
    <n v="170000"/>
    <n v="32300"/>
    <n v="202300"/>
    <s v="S3"/>
    <s v="VEND7"/>
    <n v="67"/>
    <x v="4"/>
  </r>
  <r>
    <s v="Articulo H"/>
    <x v="5"/>
    <n v="5"/>
    <n v="4900"/>
    <n v="24500"/>
    <n v="4655"/>
    <n v="29155"/>
    <s v="S2"/>
    <s v="VEND5"/>
    <n v="68"/>
    <x v="4"/>
  </r>
  <r>
    <s v="Articulo H"/>
    <x v="5"/>
    <n v="15"/>
    <n v="4900"/>
    <n v="73500"/>
    <n v="13965"/>
    <n v="87465"/>
    <s v="S1"/>
    <s v="VEND2"/>
    <n v="69"/>
    <x v="4"/>
  </r>
  <r>
    <s v="Articulo H"/>
    <x v="5"/>
    <n v="33"/>
    <n v="4900"/>
    <n v="161700"/>
    <n v="30723"/>
    <n v="192423"/>
    <s v="S3"/>
    <s v="VEND6"/>
    <n v="70"/>
    <x v="4"/>
  </r>
  <r>
    <s v="Articulo H"/>
    <x v="5"/>
    <n v="99"/>
    <n v="4900"/>
    <n v="485100"/>
    <n v="92169"/>
    <n v="577269"/>
    <s v="S3"/>
    <s v="VEND6"/>
    <n v="71"/>
    <x v="4"/>
  </r>
  <r>
    <s v="Articulo A"/>
    <x v="5"/>
    <n v="99"/>
    <n v="4900"/>
    <n v="485100"/>
    <n v="92169"/>
    <n v="577269"/>
    <s v="S3"/>
    <s v="VEND6"/>
    <n v="72"/>
    <x v="4"/>
  </r>
  <r>
    <s v="Articulo A"/>
    <x v="6"/>
    <n v="19"/>
    <n v="5500"/>
    <n v="104500"/>
    <n v="19855"/>
    <n v="124355"/>
    <s v="S1"/>
    <s v="VEND1"/>
    <n v="73"/>
    <x v="5"/>
  </r>
  <r>
    <s v="Articulo A"/>
    <x v="6"/>
    <n v="21"/>
    <n v="5500"/>
    <n v="115500"/>
    <n v="21945"/>
    <n v="137445"/>
    <s v="S2"/>
    <s v="VEND5"/>
    <n v="74"/>
    <x v="5"/>
  </r>
  <r>
    <s v="Articulo B"/>
    <x v="0"/>
    <n v="23"/>
    <n v="7800"/>
    <n v="179400"/>
    <n v="34086"/>
    <n v="213486"/>
    <s v="S1"/>
    <s v="VEND3"/>
    <n v="75"/>
    <x v="5"/>
  </r>
  <r>
    <s v="Articulo B"/>
    <x v="0"/>
    <n v="55"/>
    <n v="7800"/>
    <n v="429000"/>
    <n v="81510"/>
    <n v="510510"/>
    <s v="S2"/>
    <s v="VEND5"/>
    <n v="76"/>
    <x v="5"/>
  </r>
  <r>
    <s v="Articulo D"/>
    <x v="1"/>
    <n v="100"/>
    <n v="9600"/>
    <n v="960000"/>
    <n v="182400"/>
    <n v="1142400"/>
    <s v="S1"/>
    <s v="VEND1"/>
    <n v="77"/>
    <x v="5"/>
  </r>
  <r>
    <s v="Articulo E"/>
    <x v="2"/>
    <n v="13"/>
    <n v="10500"/>
    <n v="136500"/>
    <n v="25935"/>
    <n v="162435"/>
    <s v="S3"/>
    <s v="VEND6"/>
    <n v="78"/>
    <x v="5"/>
  </r>
  <r>
    <s v="Articulo E"/>
    <x v="2"/>
    <n v="56"/>
    <n v="10500"/>
    <n v="588000"/>
    <n v="111720"/>
    <n v="699720"/>
    <s v="S1"/>
    <s v="VEND1"/>
    <n v="79"/>
    <x v="5"/>
  </r>
  <r>
    <s v="Articulo F"/>
    <x v="3"/>
    <n v="10"/>
    <n v="5000"/>
    <n v="50000"/>
    <n v="9500"/>
    <n v="59500"/>
    <s v="S3"/>
    <s v="VEND7"/>
    <n v="80"/>
    <x v="5"/>
  </r>
  <r>
    <s v="Articulo F"/>
    <x v="3"/>
    <n v="21"/>
    <n v="5000"/>
    <n v="105000"/>
    <n v="19950"/>
    <n v="124950"/>
    <s v="S1"/>
    <s v="VEND3"/>
    <n v="81"/>
    <x v="5"/>
  </r>
  <r>
    <s v="Articulo G"/>
    <x v="4"/>
    <n v="7"/>
    <n v="4600"/>
    <n v="32200"/>
    <n v="6118"/>
    <n v="38318"/>
    <s v="S1"/>
    <s v="VEND3"/>
    <n v="82"/>
    <x v="5"/>
  </r>
  <r>
    <s v="Articulo G"/>
    <x v="4"/>
    <n v="43"/>
    <n v="4600"/>
    <n v="197800"/>
    <n v="37582"/>
    <n v="235382"/>
    <s v="S1"/>
    <s v="VEND3"/>
    <n v="83"/>
    <x v="5"/>
  </r>
  <r>
    <s v="Articulo G"/>
    <x v="4"/>
    <n v="43"/>
    <n v="4600"/>
    <n v="197800"/>
    <n v="37582"/>
    <n v="235382"/>
    <s v="S3"/>
    <s v="VEND7"/>
    <n v="84"/>
    <x v="5"/>
  </r>
  <r>
    <s v="Articulo A"/>
    <x v="6"/>
    <n v="9"/>
    <n v="5500"/>
    <n v="49500"/>
    <n v="9405"/>
    <n v="58905"/>
    <s v="S3"/>
    <s v="VEND6"/>
    <n v="85"/>
    <x v="6"/>
  </r>
  <r>
    <s v="Articulo A"/>
    <x v="6"/>
    <n v="15"/>
    <n v="5500"/>
    <n v="82500"/>
    <n v="15675"/>
    <n v="98175"/>
    <s v="S2"/>
    <s v="VEND5"/>
    <n v="86"/>
    <x v="6"/>
  </r>
  <r>
    <s v="Articulo A"/>
    <x v="6"/>
    <n v="22"/>
    <n v="5500"/>
    <n v="121000"/>
    <n v="22990"/>
    <n v="143990"/>
    <s v="S3"/>
    <s v="VEND6"/>
    <n v="87"/>
    <x v="6"/>
  </r>
  <r>
    <s v="Articulo E"/>
    <x v="2"/>
    <n v="9"/>
    <n v="10500"/>
    <n v="94500"/>
    <n v="17955"/>
    <n v="112455"/>
    <s v="S2"/>
    <s v="VEND5"/>
    <n v="88"/>
    <x v="6"/>
  </r>
  <r>
    <s v="Articulo E"/>
    <x v="2"/>
    <n v="19"/>
    <n v="10500"/>
    <n v="199500"/>
    <n v="37905"/>
    <n v="237405"/>
    <s v="S3"/>
    <s v="VEND6"/>
    <n v="89"/>
    <x v="6"/>
  </r>
  <r>
    <s v="Articulo F"/>
    <x v="3"/>
    <n v="23"/>
    <n v="5000"/>
    <n v="115000"/>
    <n v="21850"/>
    <n v="136850"/>
    <s v="S3"/>
    <s v="VEND6"/>
    <n v="90"/>
    <x v="6"/>
  </r>
  <r>
    <s v="Articulo F"/>
    <x v="3"/>
    <n v="37"/>
    <n v="5000"/>
    <n v="185000"/>
    <n v="35150"/>
    <n v="220150"/>
    <s v="S2"/>
    <s v="VEND5"/>
    <n v="91"/>
    <x v="6"/>
  </r>
  <r>
    <s v="Articulo H"/>
    <x v="5"/>
    <n v="33"/>
    <n v="4900"/>
    <n v="161700"/>
    <n v="30723"/>
    <n v="192423"/>
    <s v="S3"/>
    <s v="VEND6"/>
    <n v="92"/>
    <x v="6"/>
  </r>
  <r>
    <s v="Articulo H"/>
    <x v="5"/>
    <n v="66"/>
    <n v="4900"/>
    <n v="323400"/>
    <n v="61446"/>
    <n v="384846"/>
    <s v="S1"/>
    <s v="VEND2"/>
    <n v="93"/>
    <x v="6"/>
  </r>
  <r>
    <s v="Articulo A"/>
    <x v="6"/>
    <n v="4"/>
    <n v="5500"/>
    <n v="22000"/>
    <n v="4180"/>
    <n v="26180"/>
    <s v="S3"/>
    <s v="VEND6"/>
    <n v="94"/>
    <x v="7"/>
  </r>
  <r>
    <s v="Articulo B"/>
    <x v="0"/>
    <n v="21"/>
    <n v="7800"/>
    <n v="163800"/>
    <n v="31122"/>
    <n v="194922"/>
    <s v="S3"/>
    <s v="VEND6"/>
    <n v="95"/>
    <x v="7"/>
  </r>
  <r>
    <s v="Articulo B"/>
    <x v="0"/>
    <n v="50"/>
    <n v="7800"/>
    <n v="390000"/>
    <n v="74100"/>
    <n v="464100"/>
    <s v="S1"/>
    <s v="VEND3"/>
    <n v="96"/>
    <x v="7"/>
  </r>
  <r>
    <s v="Articulo D"/>
    <x v="1"/>
    <n v="20"/>
    <n v="9600"/>
    <n v="192000"/>
    <n v="36480"/>
    <n v="228480"/>
    <s v="S2"/>
    <s v="VEND4"/>
    <n v="97"/>
    <x v="7"/>
  </r>
  <r>
    <s v="Articulo D"/>
    <x v="1"/>
    <n v="34"/>
    <n v="9600"/>
    <n v="326400"/>
    <n v="62016"/>
    <n v="388416"/>
    <s v="S3"/>
    <s v="VEND7"/>
    <n v="98"/>
    <x v="7"/>
  </r>
  <r>
    <s v="Articulo F"/>
    <x v="3"/>
    <n v="2"/>
    <n v="5000"/>
    <n v="10000"/>
    <n v="1900"/>
    <n v="11900"/>
    <s v="S2"/>
    <s v="VEND4"/>
    <n v="99"/>
    <x v="7"/>
  </r>
  <r>
    <s v="Articulo F"/>
    <x v="3"/>
    <n v="13"/>
    <n v="5000"/>
    <n v="65000"/>
    <n v="12350"/>
    <n v="77350"/>
    <s v="S1"/>
    <s v="VEND3"/>
    <n v="100"/>
    <x v="7"/>
  </r>
  <r>
    <s v="Articulo F"/>
    <x v="3"/>
    <n v="30"/>
    <n v="5000"/>
    <n v="150000"/>
    <n v="28500"/>
    <n v="178500"/>
    <s v="S2"/>
    <s v="VEND4"/>
    <n v="101"/>
    <x v="7"/>
  </r>
  <r>
    <s v="Articulo H"/>
    <x v="5"/>
    <n v="5"/>
    <n v="4900"/>
    <n v="24500"/>
    <n v="4655"/>
    <n v="29155"/>
    <s v="S2"/>
    <s v="VEND5"/>
    <n v="102"/>
    <x v="7"/>
  </r>
  <r>
    <s v="Articulo H"/>
    <x v="5"/>
    <n v="10"/>
    <n v="4900"/>
    <n v="49000"/>
    <n v="9310"/>
    <n v="58310"/>
    <s v="S1"/>
    <s v="VEND2"/>
    <n v="103"/>
    <x v="7"/>
  </r>
  <r>
    <s v="Articulo H"/>
    <x v="5"/>
    <n v="44"/>
    <n v="4900"/>
    <n v="215600"/>
    <n v="40964"/>
    <n v="256564"/>
    <s v="S1"/>
    <s v="VEND2"/>
    <n v="104"/>
    <x v="7"/>
  </r>
  <r>
    <s v="Articulo H"/>
    <x v="5"/>
    <n v="54"/>
    <n v="4900"/>
    <n v="264600"/>
    <n v="50274"/>
    <n v="314874"/>
    <s v="S2"/>
    <s v="VEND5"/>
    <n v="105"/>
    <x v="7"/>
  </r>
  <r>
    <s v="Articulo C"/>
    <x v="7"/>
    <n v="11"/>
    <n v="22500"/>
    <n v="247500"/>
    <n v="47025"/>
    <n v="294525"/>
    <s v="S3"/>
    <s v="VEND7"/>
    <n v="106"/>
    <x v="8"/>
  </r>
  <r>
    <s v="Articulo C"/>
    <x v="7"/>
    <n v="30"/>
    <n v="22500"/>
    <n v="675000"/>
    <n v="128250"/>
    <n v="803250"/>
    <s v="S2"/>
    <s v="VEND4"/>
    <n v="107"/>
    <x v="8"/>
  </r>
  <r>
    <s v="Articulo H"/>
    <x v="5"/>
    <n v="8"/>
    <n v="4900"/>
    <n v="39200"/>
    <n v="7448"/>
    <n v="46648"/>
    <s v="S2"/>
    <s v="VEND4"/>
    <n v="108"/>
    <x v="8"/>
  </r>
  <r>
    <s v="Articulo C"/>
    <x v="7"/>
    <n v="6"/>
    <n v="22500"/>
    <n v="135000"/>
    <n v="25650"/>
    <n v="160650"/>
    <s v="S2"/>
    <s v="VEND5"/>
    <n v="109"/>
    <x v="9"/>
  </r>
  <r>
    <s v="Articulo D"/>
    <x v="1"/>
    <n v="21"/>
    <n v="9600"/>
    <n v="201600"/>
    <n v="38304"/>
    <n v="239904"/>
    <s v="S2"/>
    <s v="VEND5"/>
    <n v="110"/>
    <x v="9"/>
  </r>
  <r>
    <s v="Articulo D"/>
    <x v="1"/>
    <n v="33"/>
    <n v="9600"/>
    <n v="316800"/>
    <n v="60192"/>
    <n v="376992"/>
    <s v="S3"/>
    <s v="VEND6"/>
    <n v="111"/>
    <x v="9"/>
  </r>
  <r>
    <s v="Articulo B"/>
    <x v="0"/>
    <n v="9"/>
    <n v="7800"/>
    <n v="70200"/>
    <n v="13338"/>
    <n v="83538"/>
    <s v="S1"/>
    <s v="VEND1"/>
    <n v="112"/>
    <x v="10"/>
  </r>
  <r>
    <s v="Articulo B"/>
    <x v="0"/>
    <n v="23"/>
    <n v="7800"/>
    <n v="179400"/>
    <n v="34086"/>
    <n v="213486"/>
    <s v="S3"/>
    <s v="VEND7"/>
    <n v="113"/>
    <x v="10"/>
  </r>
  <r>
    <s v="Articulo B"/>
    <x v="0"/>
    <n v="44"/>
    <n v="7800"/>
    <n v="343200"/>
    <n v="65208"/>
    <n v="408408"/>
    <s v="S1"/>
    <s v="VEND1"/>
    <n v="114"/>
    <x v="10"/>
  </r>
  <r>
    <s v="Articulo C"/>
    <x v="7"/>
    <n v="4"/>
    <n v="22500"/>
    <n v="90000"/>
    <n v="17100"/>
    <n v="107100"/>
    <s v="S1"/>
    <s v="VEND2"/>
    <n v="115"/>
    <x v="10"/>
  </r>
  <r>
    <s v="Articulo C"/>
    <x v="7"/>
    <n v="21"/>
    <n v="22500"/>
    <n v="472500"/>
    <n v="89775"/>
    <n v="562275"/>
    <s v="S1"/>
    <s v="VEND2"/>
    <n v="116"/>
    <x v="10"/>
  </r>
  <r>
    <s v="Articulo C"/>
    <x v="7"/>
    <n v="22"/>
    <n v="22500"/>
    <n v="495000"/>
    <n v="94050"/>
    <n v="589050"/>
    <s v="S2"/>
    <s v="VEND4"/>
    <n v="117"/>
    <x v="10"/>
  </r>
  <r>
    <s v="Articulo D"/>
    <x v="1"/>
    <n v="2"/>
    <n v="9600"/>
    <n v="19200"/>
    <n v="3648"/>
    <n v="22848"/>
    <s v="S3"/>
    <s v="VEND7"/>
    <n v="118"/>
    <x v="10"/>
  </r>
  <r>
    <s v="Articulo D"/>
    <x v="1"/>
    <n v="59"/>
    <n v="9600"/>
    <n v="566400"/>
    <n v="107616"/>
    <n v="674016"/>
    <s v="S2"/>
    <s v="VEND4"/>
    <n v="119"/>
    <x v="10"/>
  </r>
  <r>
    <s v="Articulo E"/>
    <x v="2"/>
    <n v="15"/>
    <n v="10500"/>
    <n v="157500"/>
    <n v="29925"/>
    <n v="187425"/>
    <s v="S1"/>
    <s v="VEND2"/>
    <n v="120"/>
    <x v="10"/>
  </r>
  <r>
    <s v="Articulo E"/>
    <x v="2"/>
    <n v="15"/>
    <n v="10500"/>
    <n v="157500"/>
    <n v="29925"/>
    <n v="187425"/>
    <s v="S3"/>
    <s v="VEND7"/>
    <n v="121"/>
    <x v="10"/>
  </r>
  <r>
    <s v="Articulo E"/>
    <x v="2"/>
    <n v="35"/>
    <n v="10500"/>
    <n v="367500"/>
    <n v="69825"/>
    <n v="437325"/>
    <s v="S1"/>
    <s v="VEND1"/>
    <n v="122"/>
    <x v="10"/>
  </r>
  <r>
    <s v="Articulo E"/>
    <x v="2"/>
    <n v="77"/>
    <n v="10500"/>
    <n v="808500"/>
    <n v="153615"/>
    <n v="962115"/>
    <s v="S2"/>
    <s v="VEND4"/>
    <n v="123"/>
    <x v="10"/>
  </r>
  <r>
    <s v="Articulo G"/>
    <x v="4"/>
    <n v="6"/>
    <n v="4600"/>
    <n v="27600"/>
    <n v="5244"/>
    <n v="32844"/>
    <s v="S3"/>
    <s v="VEND7"/>
    <n v="124"/>
    <x v="10"/>
  </r>
  <r>
    <s v="Articulo G"/>
    <x v="4"/>
    <n v="10"/>
    <n v="4600"/>
    <n v="46000"/>
    <n v="8740"/>
    <n v="54740"/>
    <s v="S3"/>
    <s v="VEND7"/>
    <n v="125"/>
    <x v="10"/>
  </r>
  <r>
    <s v="Articulo G"/>
    <x v="4"/>
    <n v="11"/>
    <n v="4600"/>
    <n v="50600"/>
    <n v="9614"/>
    <n v="60214"/>
    <s v="S2"/>
    <s v="VEND4"/>
    <n v="126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E2F2C5-0E76-4C3C-B2C3-695A87D76CEC}" name="TablaDinámica1" cacheId="0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7" indent="0" outline="1" outlineData="1" multipleFieldFilters="0">
  <location ref="A3:B9" firstHeaderRow="1" firstDataRow="1" firstDataCol="1" rowPageCount="1" colPageCount="1"/>
  <pivotFields count="11">
    <pivotField showAll="0"/>
    <pivotField axis="axisRow" showAll="0">
      <items count="9">
        <item x="6"/>
        <item x="0"/>
        <item x="4"/>
        <item x="1"/>
        <item x="7"/>
        <item x="3"/>
        <item x="2"/>
        <item x="5"/>
        <item t="default"/>
      </items>
    </pivotField>
    <pivotField showAll="0"/>
    <pivotField numFmtId="164" showAll="0"/>
    <pivotField dataField="1" numFmtId="164" showAll="0"/>
    <pivotField numFmtId="164" showAll="0"/>
    <pivotField numFmtId="164" showAll="0"/>
    <pivotField showAll="0"/>
    <pivotField showAll="0"/>
    <pivotField numFmtId="3" showAll="0"/>
    <pivotField axis="axisPage" numFmtId="14" multipleItemSelectionAllowed="1" showAll="0">
      <items count="12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t="default"/>
      </items>
    </pivotField>
  </pivotFields>
  <rowFields count="1">
    <field x="1"/>
  </rowFields>
  <rowItems count="6">
    <i>
      <x v="1"/>
    </i>
    <i>
      <x v="2"/>
    </i>
    <i>
      <x v="3"/>
    </i>
    <i>
      <x v="5"/>
    </i>
    <i>
      <x v="6"/>
    </i>
    <i>
      <x v="7"/>
    </i>
  </rowItems>
  <colItems count="1">
    <i/>
  </colItems>
  <pageFields count="1">
    <pageField fld="10" hier="-1"/>
  </pageFields>
  <dataFields count="1">
    <dataField name="Suma de Ventas Netas" fld="4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899E2E-3803-4640-86AB-D789A99D1EC6}" name="TablaDinámica2" cacheId="0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7" indent="0" outline="1" outlineData="1" multipleFieldFilters="0">
  <location ref="A18:B23" firstHeaderRow="1" firstDataRow="1" firstDataCol="1" rowPageCount="1" colPageCount="1"/>
  <pivotFields count="11">
    <pivotField showAll="0"/>
    <pivotField axis="axisRow" showAll="0">
      <items count="9">
        <item x="6"/>
        <item x="0"/>
        <item x="4"/>
        <item x="1"/>
        <item x="7"/>
        <item x="3"/>
        <item x="2"/>
        <item x="5"/>
        <item t="default"/>
      </items>
    </pivotField>
    <pivotField showAll="0"/>
    <pivotField numFmtId="164" showAll="0"/>
    <pivotField numFmtId="164" showAll="0"/>
    <pivotField numFmtId="164" showAll="0"/>
    <pivotField dataField="1" numFmtId="164" showAll="0"/>
    <pivotField showAll="0"/>
    <pivotField showAll="0"/>
    <pivotField numFmtId="3" showAll="0"/>
    <pivotField axis="axisPage" numFmtId="14" multipleItemSelectionAllowed="1" showAll="0">
      <items count="12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t="default"/>
      </items>
    </pivotField>
  </pivotFields>
  <rowFields count="1">
    <field x="1"/>
  </rowFields>
  <rowItems count="5">
    <i>
      <x/>
    </i>
    <i>
      <x v="4"/>
    </i>
    <i>
      <x v="5"/>
    </i>
    <i>
      <x v="6"/>
    </i>
    <i>
      <x v="7"/>
    </i>
  </rowItems>
  <colItems count="1">
    <i/>
  </colItems>
  <pageFields count="1">
    <pageField fld="10" hier="-1"/>
  </pageFields>
  <dataFields count="1">
    <dataField name="Suma de Ventas Totales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4ACC7E-5B1A-41F8-AEED-CB2AD2AF90B7}" name="VENTA_PROD" displayName="VENTA_PROD" ref="B5:L131" insertRowShift="1" totalsRowShown="0" headerRowDxfId="13" headerRowBorderDxfId="12" tableBorderDxfId="11">
  <autoFilter ref="B5:L131" xr:uid="{D84ACC7E-5B1A-41F8-AEED-CB2AD2AF90B7}"/>
  <sortState xmlns:xlrd2="http://schemas.microsoft.com/office/spreadsheetml/2017/richdata2" ref="B6:L131">
    <sortCondition ref="L6:L131"/>
  </sortState>
  <tableColumns count="11">
    <tableColumn id="1" xr3:uid="{F68038ED-A332-424D-A9F7-D2D94E7D8DA6}" name="Producto" dataDxfId="10"/>
    <tableColumn id="2" xr3:uid="{138E5144-EC64-4D40-ABF4-81053329F35D}" name="Nombre Producto" dataDxfId="9"/>
    <tableColumn id="3" xr3:uid="{C7A9AAEA-C4D7-4F2D-86DB-8E97E7031A7A}" name="Unid.Vendida" dataDxfId="8"/>
    <tableColumn id="4" xr3:uid="{4CFDB770-43D7-4987-9324-8FC30489D36F}" name="Precio X Unid." dataDxfId="7"/>
    <tableColumn id="5" xr3:uid="{9F45C512-2924-4BA8-8D08-D3878D40EF98}" name="Ventas Netas" dataDxfId="6">
      <calculatedColumnFormula>D6*E6</calculatedColumnFormula>
    </tableColumn>
    <tableColumn id="6" xr3:uid="{AFD727FE-42C5-4792-91B7-4F0EE783B1D2}" name="I.V.A" dataDxfId="5">
      <calculatedColumnFormula>F6*$F$1</calculatedColumnFormula>
    </tableColumn>
    <tableColumn id="7" xr3:uid="{DBA5E71D-AC34-41A6-86A1-2CDDACAB6A6D}" name="Ventas Totales" dataDxfId="4">
      <calculatedColumnFormula>F6+G6</calculatedColumnFormula>
    </tableColumn>
    <tableColumn id="8" xr3:uid="{E2E5CACE-E98B-4A62-8E48-C159C623CACD}" name="Sucursal" dataDxfId="3"/>
    <tableColumn id="9" xr3:uid="{8056E8FC-7D63-44D3-940C-1A46D70463F0}" name="Vendedor" dataDxfId="2"/>
    <tableColumn id="10" xr3:uid="{F95A18AB-7D55-4ACA-B623-99C053356346}" name="Nro. Boleta" dataDxfId="1"/>
    <tableColumn id="11" xr3:uid="{44D65B3B-F5AE-4932-ABC5-198DD788299F}" name="Fecha Vent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4D58A-EC98-4C69-805C-752972A87E9D}">
  <dimension ref="A1:D23"/>
  <sheetViews>
    <sheetView topLeftCell="A12" zoomScale="140" zoomScaleNormal="140" workbookViewId="0">
      <selection activeCell="B19" sqref="B19:B23"/>
    </sheetView>
  </sheetViews>
  <sheetFormatPr baseColWidth="10" defaultRowHeight="14.5" x14ac:dyDescent="0.35"/>
  <cols>
    <col min="1" max="1" width="16.54296875" bestFit="1" customWidth="1"/>
    <col min="2" max="2" width="21" bestFit="1" customWidth="1"/>
  </cols>
  <sheetData>
    <row r="1" spans="1:4" x14ac:dyDescent="0.35">
      <c r="A1" s="34" t="s">
        <v>22</v>
      </c>
      <c r="B1" s="35">
        <v>44762</v>
      </c>
    </row>
    <row r="2" spans="1:4" x14ac:dyDescent="0.35">
      <c r="D2" s="32">
        <v>44763</v>
      </c>
    </row>
    <row r="3" spans="1:4" x14ac:dyDescent="0.35">
      <c r="A3" s="34" t="s">
        <v>51</v>
      </c>
      <c r="B3" t="s">
        <v>52</v>
      </c>
    </row>
    <row r="4" spans="1:4" x14ac:dyDescent="0.35">
      <c r="A4" s="25" t="s">
        <v>10</v>
      </c>
      <c r="B4" s="31">
        <v>101400</v>
      </c>
    </row>
    <row r="5" spans="1:4" x14ac:dyDescent="0.35">
      <c r="A5" s="25" t="s">
        <v>15</v>
      </c>
      <c r="B5" s="31">
        <v>271400</v>
      </c>
    </row>
    <row r="6" spans="1:4" x14ac:dyDescent="0.35">
      <c r="A6" s="25" t="s">
        <v>12</v>
      </c>
      <c r="B6" s="31">
        <v>1219200</v>
      </c>
    </row>
    <row r="7" spans="1:4" x14ac:dyDescent="0.35">
      <c r="A7" s="25" t="s">
        <v>14</v>
      </c>
      <c r="B7" s="31">
        <v>265000</v>
      </c>
    </row>
    <row r="8" spans="1:4" x14ac:dyDescent="0.35">
      <c r="A8" s="25" t="s">
        <v>13</v>
      </c>
      <c r="B8" s="31">
        <v>367500</v>
      </c>
    </row>
    <row r="9" spans="1:4" x14ac:dyDescent="0.35">
      <c r="A9" s="25" t="s">
        <v>16</v>
      </c>
      <c r="B9" s="31">
        <v>396900</v>
      </c>
    </row>
    <row r="16" spans="1:4" x14ac:dyDescent="0.35">
      <c r="A16" s="34" t="s">
        <v>22</v>
      </c>
      <c r="B16" s="35">
        <v>44763</v>
      </c>
    </row>
    <row r="18" spans="1:2" x14ac:dyDescent="0.35">
      <c r="A18" s="34" t="s">
        <v>51</v>
      </c>
      <c r="B18" t="s">
        <v>53</v>
      </c>
    </row>
    <row r="19" spans="1:2" x14ac:dyDescent="0.35">
      <c r="A19" s="25" t="s">
        <v>9</v>
      </c>
      <c r="B19" s="30">
        <v>301070</v>
      </c>
    </row>
    <row r="20" spans="1:2" x14ac:dyDescent="0.35">
      <c r="A20" s="25" t="s">
        <v>11</v>
      </c>
      <c r="B20" s="30">
        <v>4658850</v>
      </c>
    </row>
    <row r="21" spans="1:2" x14ac:dyDescent="0.35">
      <c r="A21" s="25" t="s">
        <v>14</v>
      </c>
      <c r="B21" s="30">
        <v>124950</v>
      </c>
    </row>
    <row r="22" spans="1:2" x14ac:dyDescent="0.35">
      <c r="A22" s="25" t="s">
        <v>13</v>
      </c>
      <c r="B22" s="30">
        <v>1611855</v>
      </c>
    </row>
    <row r="23" spans="1:2" x14ac:dyDescent="0.35">
      <c r="A23" s="25" t="s">
        <v>16</v>
      </c>
      <c r="B23" s="30">
        <v>81634</v>
      </c>
    </row>
  </sheetData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2"/>
  </sheetPr>
  <dimension ref="B1:O132"/>
  <sheetViews>
    <sheetView tabSelected="1" topLeftCell="B1" workbookViewId="0">
      <selection activeCell="L118" sqref="L118:L131"/>
    </sheetView>
  </sheetViews>
  <sheetFormatPr baseColWidth="10" defaultRowHeight="14.5" x14ac:dyDescent="0.35"/>
  <cols>
    <col min="2" max="2" width="11.7265625" customWidth="1"/>
    <col min="3" max="3" width="19.81640625" customWidth="1"/>
    <col min="4" max="4" width="15.7265625" bestFit="1" customWidth="1"/>
    <col min="5" max="5" width="16.26953125" customWidth="1"/>
    <col min="6" max="6" width="16.54296875" customWidth="1"/>
    <col min="7" max="7" width="11.1796875" bestFit="1" customWidth="1"/>
    <col min="8" max="8" width="17.1796875" customWidth="1"/>
    <col min="9" max="9" width="11.453125" customWidth="1"/>
    <col min="10" max="10" width="14.81640625" bestFit="1" customWidth="1"/>
    <col min="11" max="11" width="13.7265625" customWidth="1"/>
    <col min="12" max="12" width="15.54296875" customWidth="1"/>
    <col min="13" max="13" width="12.54296875" customWidth="1"/>
    <col min="14" max="14" width="11" customWidth="1"/>
  </cols>
  <sheetData>
    <row r="1" spans="2:15" ht="15.5" x14ac:dyDescent="0.35">
      <c r="F1" s="11">
        <v>0.19</v>
      </c>
      <c r="G1" s="1" t="s">
        <v>27</v>
      </c>
    </row>
    <row r="2" spans="2:15" x14ac:dyDescent="0.35">
      <c r="F2" s="2"/>
    </row>
    <row r="3" spans="2:15" x14ac:dyDescent="0.35">
      <c r="B3" s="36" t="s">
        <v>17</v>
      </c>
      <c r="C3" s="36"/>
      <c r="D3" s="36"/>
      <c r="E3" s="36"/>
      <c r="F3" s="36"/>
      <c r="G3" s="36"/>
      <c r="H3" s="36"/>
      <c r="I3" s="36"/>
      <c r="J3" s="36"/>
      <c r="K3" s="36"/>
      <c r="L3" s="36"/>
    </row>
    <row r="4" spans="2:15" x14ac:dyDescent="0.35">
      <c r="F4" s="2"/>
    </row>
    <row r="5" spans="2:15" ht="15" thickBot="1" x14ac:dyDescent="0.4">
      <c r="B5" s="13" t="s">
        <v>0</v>
      </c>
      <c r="C5" s="14" t="s">
        <v>20</v>
      </c>
      <c r="D5" s="14" t="s">
        <v>21</v>
      </c>
      <c r="E5" s="14" t="s">
        <v>18</v>
      </c>
      <c r="F5" s="14" t="s">
        <v>28</v>
      </c>
      <c r="G5" s="14" t="s">
        <v>19</v>
      </c>
      <c r="H5" s="14" t="s">
        <v>30</v>
      </c>
      <c r="I5" s="14" t="s">
        <v>31</v>
      </c>
      <c r="J5" s="14" t="s">
        <v>23</v>
      </c>
      <c r="K5" s="14" t="s">
        <v>38</v>
      </c>
      <c r="L5" s="15" t="s">
        <v>22</v>
      </c>
    </row>
    <row r="6" spans="2:15" ht="15" thickTop="1" x14ac:dyDescent="0.35">
      <c r="B6" s="4" t="s">
        <v>2</v>
      </c>
      <c r="C6" s="4" t="s">
        <v>10</v>
      </c>
      <c r="D6" s="7">
        <v>13</v>
      </c>
      <c r="E6" s="5">
        <v>7800</v>
      </c>
      <c r="F6" s="5">
        <f t="shared" ref="F6:F37" si="0">D6*E6</f>
        <v>101400</v>
      </c>
      <c r="G6" s="5">
        <f t="shared" ref="G6:G37" si="1">F6*$F$1</f>
        <v>19266</v>
      </c>
      <c r="H6" s="12">
        <f t="shared" ref="H6:H37" si="2">F6+G6</f>
        <v>120666</v>
      </c>
      <c r="I6" s="12" t="s">
        <v>32</v>
      </c>
      <c r="J6" s="4" t="s">
        <v>24</v>
      </c>
      <c r="K6" s="16">
        <v>1</v>
      </c>
      <c r="L6" s="10">
        <v>45858</v>
      </c>
    </row>
    <row r="7" spans="2:15" x14ac:dyDescent="0.35">
      <c r="B7" s="3" t="s">
        <v>4</v>
      </c>
      <c r="C7" s="4" t="s">
        <v>12</v>
      </c>
      <c r="D7" s="8">
        <v>10</v>
      </c>
      <c r="E7" s="6">
        <v>9600</v>
      </c>
      <c r="F7" s="5">
        <f t="shared" si="0"/>
        <v>96000</v>
      </c>
      <c r="G7" s="5">
        <f t="shared" si="1"/>
        <v>18240</v>
      </c>
      <c r="H7" s="12">
        <f t="shared" si="2"/>
        <v>114240</v>
      </c>
      <c r="I7" s="12" t="s">
        <v>32</v>
      </c>
      <c r="J7" s="4" t="s">
        <v>24</v>
      </c>
      <c r="K7" s="17">
        <v>2</v>
      </c>
      <c r="L7" s="9">
        <v>45858</v>
      </c>
    </row>
    <row r="8" spans="2:15" x14ac:dyDescent="0.35">
      <c r="B8" s="3" t="s">
        <v>4</v>
      </c>
      <c r="C8" s="4" t="s">
        <v>12</v>
      </c>
      <c r="D8" s="8">
        <v>23</v>
      </c>
      <c r="E8" s="6">
        <v>9600</v>
      </c>
      <c r="F8" s="5">
        <f t="shared" si="0"/>
        <v>220800</v>
      </c>
      <c r="G8" s="5">
        <f t="shared" si="1"/>
        <v>41952</v>
      </c>
      <c r="H8" s="12">
        <f t="shared" si="2"/>
        <v>262752</v>
      </c>
      <c r="I8" s="12" t="s">
        <v>34</v>
      </c>
      <c r="J8" s="4" t="s">
        <v>36</v>
      </c>
      <c r="K8" s="16">
        <v>3</v>
      </c>
      <c r="L8" s="10">
        <v>45858</v>
      </c>
    </row>
    <row r="9" spans="2:15" x14ac:dyDescent="0.35">
      <c r="B9" s="3" t="s">
        <v>4</v>
      </c>
      <c r="C9" s="4" t="s">
        <v>12</v>
      </c>
      <c r="D9" s="8">
        <v>44</v>
      </c>
      <c r="E9" s="6">
        <v>9600</v>
      </c>
      <c r="F9" s="5">
        <f t="shared" si="0"/>
        <v>422400</v>
      </c>
      <c r="G9" s="5">
        <f t="shared" si="1"/>
        <v>80256</v>
      </c>
      <c r="H9" s="12">
        <f t="shared" si="2"/>
        <v>502656</v>
      </c>
      <c r="I9" s="12" t="s">
        <v>34</v>
      </c>
      <c r="J9" s="4" t="s">
        <v>36</v>
      </c>
      <c r="K9" s="17">
        <v>4</v>
      </c>
      <c r="L9" s="9">
        <v>45858</v>
      </c>
    </row>
    <row r="10" spans="2:15" x14ac:dyDescent="0.35">
      <c r="B10" s="3" t="s">
        <v>4</v>
      </c>
      <c r="C10" s="4" t="s">
        <v>12</v>
      </c>
      <c r="D10" s="8">
        <v>50</v>
      </c>
      <c r="E10" s="6">
        <v>9600</v>
      </c>
      <c r="F10" s="5">
        <f t="shared" si="0"/>
        <v>480000</v>
      </c>
      <c r="G10" s="5">
        <f t="shared" si="1"/>
        <v>91200</v>
      </c>
      <c r="H10" s="12">
        <f t="shared" si="2"/>
        <v>571200</v>
      </c>
      <c r="I10" s="12" t="s">
        <v>33</v>
      </c>
      <c r="J10" s="4" t="s">
        <v>35</v>
      </c>
      <c r="K10" s="16">
        <v>5</v>
      </c>
      <c r="L10" s="10">
        <v>45858</v>
      </c>
    </row>
    <row r="11" spans="2:15" x14ac:dyDescent="0.35">
      <c r="B11" s="3" t="s">
        <v>5</v>
      </c>
      <c r="C11" s="4" t="s">
        <v>13</v>
      </c>
      <c r="D11" s="8">
        <v>13</v>
      </c>
      <c r="E11" s="6">
        <v>10500</v>
      </c>
      <c r="F11" s="5">
        <f t="shared" si="0"/>
        <v>136500</v>
      </c>
      <c r="G11" s="5">
        <f t="shared" si="1"/>
        <v>25935</v>
      </c>
      <c r="H11" s="12">
        <f t="shared" si="2"/>
        <v>162435</v>
      </c>
      <c r="I11" s="12" t="s">
        <v>34</v>
      </c>
      <c r="J11" s="4" t="s">
        <v>36</v>
      </c>
      <c r="K11" s="17">
        <v>6</v>
      </c>
      <c r="L11" s="9">
        <v>45858</v>
      </c>
    </row>
    <row r="12" spans="2:15" x14ac:dyDescent="0.35">
      <c r="B12" s="3" t="s">
        <v>5</v>
      </c>
      <c r="C12" s="4" t="s">
        <v>13</v>
      </c>
      <c r="D12" s="8">
        <v>22</v>
      </c>
      <c r="E12" s="6">
        <v>10500</v>
      </c>
      <c r="F12" s="5">
        <f t="shared" si="0"/>
        <v>231000</v>
      </c>
      <c r="G12" s="5">
        <f t="shared" si="1"/>
        <v>43890</v>
      </c>
      <c r="H12" s="12">
        <f t="shared" si="2"/>
        <v>274890</v>
      </c>
      <c r="I12" s="12" t="s">
        <v>34</v>
      </c>
      <c r="J12" s="4" t="s">
        <v>36</v>
      </c>
      <c r="K12" s="16">
        <v>7</v>
      </c>
      <c r="L12" s="10">
        <v>45858</v>
      </c>
    </row>
    <row r="13" spans="2:15" x14ac:dyDescent="0.35">
      <c r="B13" s="3" t="s">
        <v>6</v>
      </c>
      <c r="C13" s="4" t="s">
        <v>14</v>
      </c>
      <c r="D13" s="8">
        <v>23</v>
      </c>
      <c r="E13" s="6">
        <v>5000</v>
      </c>
      <c r="F13" s="5">
        <f t="shared" si="0"/>
        <v>115000</v>
      </c>
      <c r="G13" s="5">
        <f t="shared" si="1"/>
        <v>21850</v>
      </c>
      <c r="H13" s="12">
        <f t="shared" si="2"/>
        <v>136850</v>
      </c>
      <c r="I13" s="12" t="s">
        <v>32</v>
      </c>
      <c r="J13" s="4" t="s">
        <v>26</v>
      </c>
      <c r="K13" s="17">
        <v>8</v>
      </c>
      <c r="L13" s="9">
        <v>45858</v>
      </c>
    </row>
    <row r="14" spans="2:15" x14ac:dyDescent="0.35">
      <c r="B14" s="3" t="s">
        <v>6</v>
      </c>
      <c r="C14" s="4" t="s">
        <v>14</v>
      </c>
      <c r="D14" s="8">
        <v>30</v>
      </c>
      <c r="E14" s="6">
        <v>5000</v>
      </c>
      <c r="F14" s="5">
        <f t="shared" si="0"/>
        <v>150000</v>
      </c>
      <c r="G14" s="5">
        <f t="shared" si="1"/>
        <v>28500</v>
      </c>
      <c r="H14" s="12">
        <f t="shared" si="2"/>
        <v>178500</v>
      </c>
      <c r="I14" s="12" t="s">
        <v>33</v>
      </c>
      <c r="J14" s="4" t="s">
        <v>29</v>
      </c>
      <c r="K14" s="16">
        <v>9</v>
      </c>
      <c r="L14" s="10">
        <v>45858</v>
      </c>
      <c r="O14" t="str">
        <f>MID(N14,10,1)</f>
        <v/>
      </c>
    </row>
    <row r="15" spans="2:15" x14ac:dyDescent="0.35">
      <c r="B15" s="3" t="s">
        <v>7</v>
      </c>
      <c r="C15" s="4" t="s">
        <v>15</v>
      </c>
      <c r="D15" s="3">
        <v>15</v>
      </c>
      <c r="E15" s="6">
        <v>4600</v>
      </c>
      <c r="F15" s="5">
        <f t="shared" si="0"/>
        <v>69000</v>
      </c>
      <c r="G15" s="5">
        <f t="shared" si="1"/>
        <v>13110</v>
      </c>
      <c r="H15" s="12">
        <f t="shared" si="2"/>
        <v>82110</v>
      </c>
      <c r="I15" s="12" t="s">
        <v>34</v>
      </c>
      <c r="J15" s="4" t="s">
        <v>37</v>
      </c>
      <c r="K15" s="17">
        <v>10</v>
      </c>
      <c r="L15" s="9">
        <v>45858</v>
      </c>
    </row>
    <row r="16" spans="2:15" x14ac:dyDescent="0.35">
      <c r="B16" s="3" t="s">
        <v>7</v>
      </c>
      <c r="C16" s="4" t="s">
        <v>15</v>
      </c>
      <c r="D16" s="3">
        <v>44</v>
      </c>
      <c r="E16" s="6">
        <v>4600</v>
      </c>
      <c r="F16" s="5">
        <f t="shared" si="0"/>
        <v>202400</v>
      </c>
      <c r="G16" s="5">
        <f t="shared" si="1"/>
        <v>38456</v>
      </c>
      <c r="H16" s="12">
        <f t="shared" si="2"/>
        <v>240856</v>
      </c>
      <c r="I16" s="12" t="s">
        <v>34</v>
      </c>
      <c r="J16" s="4" t="s">
        <v>37</v>
      </c>
      <c r="K16" s="16">
        <v>11</v>
      </c>
      <c r="L16" s="10">
        <v>45858</v>
      </c>
    </row>
    <row r="17" spans="2:15" x14ac:dyDescent="0.35">
      <c r="B17" s="3" t="s">
        <v>8</v>
      </c>
      <c r="C17" s="4" t="s">
        <v>16</v>
      </c>
      <c r="D17" s="8">
        <v>6</v>
      </c>
      <c r="E17" s="6">
        <v>4900</v>
      </c>
      <c r="F17" s="5">
        <f t="shared" si="0"/>
        <v>29400</v>
      </c>
      <c r="G17" s="5">
        <f t="shared" si="1"/>
        <v>5586</v>
      </c>
      <c r="H17" s="12">
        <f t="shared" si="2"/>
        <v>34986</v>
      </c>
      <c r="I17" s="12" t="s">
        <v>33</v>
      </c>
      <c r="J17" s="4" t="s">
        <v>29</v>
      </c>
      <c r="K17" s="17">
        <v>12</v>
      </c>
      <c r="L17" s="9">
        <v>45858</v>
      </c>
    </row>
    <row r="18" spans="2:15" x14ac:dyDescent="0.35">
      <c r="B18" s="3" t="s">
        <v>8</v>
      </c>
      <c r="C18" s="4" t="s">
        <v>16</v>
      </c>
      <c r="D18" s="3">
        <v>21</v>
      </c>
      <c r="E18" s="6">
        <v>4900</v>
      </c>
      <c r="F18" s="5">
        <f t="shared" si="0"/>
        <v>102900</v>
      </c>
      <c r="G18" s="5">
        <f t="shared" si="1"/>
        <v>19551</v>
      </c>
      <c r="H18" s="12">
        <f t="shared" si="2"/>
        <v>122451</v>
      </c>
      <c r="I18" s="12" t="s">
        <v>32</v>
      </c>
      <c r="J18" s="4" t="s">
        <v>25</v>
      </c>
      <c r="K18" s="16">
        <v>13</v>
      </c>
      <c r="L18" s="10">
        <v>45858</v>
      </c>
    </row>
    <row r="19" spans="2:15" x14ac:dyDescent="0.35">
      <c r="B19" s="3" t="s">
        <v>8</v>
      </c>
      <c r="C19" s="4" t="s">
        <v>16</v>
      </c>
      <c r="D19" s="3">
        <v>54</v>
      </c>
      <c r="E19" s="6">
        <v>4900</v>
      </c>
      <c r="F19" s="5">
        <f t="shared" si="0"/>
        <v>264600</v>
      </c>
      <c r="G19" s="5">
        <f t="shared" si="1"/>
        <v>50274</v>
      </c>
      <c r="H19" s="12">
        <f t="shared" si="2"/>
        <v>314874</v>
      </c>
      <c r="I19" s="12" t="s">
        <v>33</v>
      </c>
      <c r="J19" s="4" t="s">
        <v>35</v>
      </c>
      <c r="K19" s="17">
        <v>14</v>
      </c>
      <c r="L19" s="9">
        <v>45858</v>
      </c>
    </row>
    <row r="20" spans="2:15" x14ac:dyDescent="0.35">
      <c r="B20" s="3" t="s">
        <v>1</v>
      </c>
      <c r="C20" s="4" t="s">
        <v>9</v>
      </c>
      <c r="D20" s="8">
        <v>4</v>
      </c>
      <c r="E20" s="6">
        <v>5500</v>
      </c>
      <c r="F20" s="5">
        <f t="shared" si="0"/>
        <v>22000</v>
      </c>
      <c r="G20" s="5">
        <f t="shared" si="1"/>
        <v>4180</v>
      </c>
      <c r="H20" s="12">
        <f t="shared" si="2"/>
        <v>26180</v>
      </c>
      <c r="I20" s="12" t="s">
        <v>34</v>
      </c>
      <c r="J20" s="4" t="s">
        <v>36</v>
      </c>
      <c r="K20" s="16">
        <v>15</v>
      </c>
      <c r="L20" s="9">
        <v>45859</v>
      </c>
    </row>
    <row r="21" spans="2:15" x14ac:dyDescent="0.35">
      <c r="B21" s="3" t="s">
        <v>1</v>
      </c>
      <c r="C21" s="4" t="s">
        <v>9</v>
      </c>
      <c r="D21" s="3">
        <v>21</v>
      </c>
      <c r="E21" s="6">
        <v>5500</v>
      </c>
      <c r="F21" s="5">
        <f t="shared" si="0"/>
        <v>115500</v>
      </c>
      <c r="G21" s="5">
        <f t="shared" si="1"/>
        <v>21945</v>
      </c>
      <c r="H21" s="12">
        <f t="shared" si="2"/>
        <v>137445</v>
      </c>
      <c r="I21" s="12" t="s">
        <v>32</v>
      </c>
      <c r="J21" s="4" t="s">
        <v>24</v>
      </c>
      <c r="K21" s="17">
        <v>16</v>
      </c>
      <c r="L21" s="9">
        <v>45859</v>
      </c>
    </row>
    <row r="22" spans="2:15" x14ac:dyDescent="0.35">
      <c r="B22" s="3" t="s">
        <v>1</v>
      </c>
      <c r="C22" s="4" t="s">
        <v>9</v>
      </c>
      <c r="D22" s="3">
        <v>21</v>
      </c>
      <c r="E22" s="6">
        <v>5500</v>
      </c>
      <c r="F22" s="5">
        <f t="shared" si="0"/>
        <v>115500</v>
      </c>
      <c r="G22" s="5">
        <f t="shared" si="1"/>
        <v>21945</v>
      </c>
      <c r="H22" s="12">
        <f t="shared" si="2"/>
        <v>137445</v>
      </c>
      <c r="I22" s="12" t="s">
        <v>33</v>
      </c>
      <c r="J22" s="4" t="s">
        <v>35</v>
      </c>
      <c r="K22" s="16">
        <v>17</v>
      </c>
      <c r="L22" s="9">
        <v>45859</v>
      </c>
    </row>
    <row r="23" spans="2:15" x14ac:dyDescent="0.35">
      <c r="B23" s="3" t="s">
        <v>3</v>
      </c>
      <c r="C23" s="4" t="s">
        <v>11</v>
      </c>
      <c r="D23" s="8">
        <v>12</v>
      </c>
      <c r="E23" s="6">
        <v>22500</v>
      </c>
      <c r="F23" s="5">
        <f t="shared" si="0"/>
        <v>270000</v>
      </c>
      <c r="G23" s="5">
        <f t="shared" si="1"/>
        <v>51300</v>
      </c>
      <c r="H23" s="12">
        <f t="shared" si="2"/>
        <v>321300</v>
      </c>
      <c r="I23" s="12" t="s">
        <v>32</v>
      </c>
      <c r="J23" s="4" t="s">
        <v>25</v>
      </c>
      <c r="K23" s="17">
        <v>18</v>
      </c>
      <c r="L23" s="9">
        <v>45859</v>
      </c>
    </row>
    <row r="24" spans="2:15" x14ac:dyDescent="0.35">
      <c r="B24" s="3" t="s">
        <v>3</v>
      </c>
      <c r="C24" s="4" t="s">
        <v>11</v>
      </c>
      <c r="D24" s="3">
        <v>30</v>
      </c>
      <c r="E24" s="6">
        <v>22500</v>
      </c>
      <c r="F24" s="5">
        <f t="shared" si="0"/>
        <v>675000</v>
      </c>
      <c r="G24" s="5">
        <f t="shared" si="1"/>
        <v>128250</v>
      </c>
      <c r="H24" s="12">
        <f t="shared" si="2"/>
        <v>803250</v>
      </c>
      <c r="I24" s="12" t="s">
        <v>33</v>
      </c>
      <c r="J24" s="4" t="s">
        <v>29</v>
      </c>
      <c r="K24" s="16">
        <v>19</v>
      </c>
      <c r="L24" s="9">
        <v>45859</v>
      </c>
    </row>
    <row r="25" spans="2:15" x14ac:dyDescent="0.35">
      <c r="B25" s="3" t="s">
        <v>3</v>
      </c>
      <c r="C25" s="4" t="s">
        <v>11</v>
      </c>
      <c r="D25" s="3">
        <v>33</v>
      </c>
      <c r="E25" s="6">
        <v>22500</v>
      </c>
      <c r="F25" s="5">
        <f t="shared" si="0"/>
        <v>742500</v>
      </c>
      <c r="G25" s="5">
        <f t="shared" si="1"/>
        <v>141075</v>
      </c>
      <c r="H25" s="12">
        <f t="shared" si="2"/>
        <v>883575</v>
      </c>
      <c r="I25" s="12" t="s">
        <v>34</v>
      </c>
      <c r="J25" s="4" t="s">
        <v>37</v>
      </c>
      <c r="K25" s="17">
        <v>20</v>
      </c>
      <c r="L25" s="9">
        <v>45859</v>
      </c>
    </row>
    <row r="26" spans="2:15" x14ac:dyDescent="0.35">
      <c r="B26" s="3" t="s">
        <v>3</v>
      </c>
      <c r="C26" s="4" t="s">
        <v>11</v>
      </c>
      <c r="D26" s="3">
        <v>99</v>
      </c>
      <c r="E26" s="6">
        <v>22500</v>
      </c>
      <c r="F26" s="5">
        <f t="shared" si="0"/>
        <v>2227500</v>
      </c>
      <c r="G26" s="5">
        <f t="shared" si="1"/>
        <v>423225</v>
      </c>
      <c r="H26" s="12">
        <f t="shared" si="2"/>
        <v>2650725</v>
      </c>
      <c r="I26" s="12" t="s">
        <v>34</v>
      </c>
      <c r="J26" s="4" t="s">
        <v>37</v>
      </c>
      <c r="K26" s="16">
        <v>21</v>
      </c>
      <c r="L26" s="9">
        <v>45859</v>
      </c>
    </row>
    <row r="27" spans="2:15" x14ac:dyDescent="0.35">
      <c r="B27" s="3" t="s">
        <v>5</v>
      </c>
      <c r="C27" s="4" t="s">
        <v>13</v>
      </c>
      <c r="D27" s="8">
        <v>9</v>
      </c>
      <c r="E27" s="6">
        <v>10500</v>
      </c>
      <c r="F27" s="5">
        <f t="shared" si="0"/>
        <v>94500</v>
      </c>
      <c r="G27" s="5">
        <f t="shared" si="1"/>
        <v>17955</v>
      </c>
      <c r="H27" s="12">
        <f t="shared" si="2"/>
        <v>112455</v>
      </c>
      <c r="I27" s="12" t="s">
        <v>33</v>
      </c>
      <c r="J27" s="4" t="s">
        <v>35</v>
      </c>
      <c r="K27" s="17">
        <v>22</v>
      </c>
      <c r="L27" s="9">
        <v>45859</v>
      </c>
    </row>
    <row r="28" spans="2:15" x14ac:dyDescent="0.35">
      <c r="B28" s="3" t="s">
        <v>5</v>
      </c>
      <c r="C28" s="4" t="s">
        <v>13</v>
      </c>
      <c r="D28" s="8">
        <v>15</v>
      </c>
      <c r="E28" s="6">
        <v>10500</v>
      </c>
      <c r="F28" s="5">
        <f t="shared" si="0"/>
        <v>157500</v>
      </c>
      <c r="G28" s="5">
        <f t="shared" si="1"/>
        <v>29925</v>
      </c>
      <c r="H28" s="12">
        <f t="shared" si="2"/>
        <v>187425</v>
      </c>
      <c r="I28" s="12" t="s">
        <v>34</v>
      </c>
      <c r="J28" s="4" t="s">
        <v>37</v>
      </c>
      <c r="K28" s="16">
        <v>23</v>
      </c>
      <c r="L28" s="9">
        <v>45859</v>
      </c>
      <c r="O28" t="str">
        <f>MID(N28,10,1)</f>
        <v/>
      </c>
    </row>
    <row r="29" spans="2:15" x14ac:dyDescent="0.35">
      <c r="B29" s="3" t="s">
        <v>5</v>
      </c>
      <c r="C29" s="4" t="s">
        <v>13</v>
      </c>
      <c r="D29" s="8">
        <v>17</v>
      </c>
      <c r="E29" s="6">
        <v>10500</v>
      </c>
      <c r="F29" s="5">
        <f t="shared" si="0"/>
        <v>178500</v>
      </c>
      <c r="G29" s="5">
        <f t="shared" si="1"/>
        <v>33915</v>
      </c>
      <c r="H29" s="12">
        <f t="shared" si="2"/>
        <v>212415</v>
      </c>
      <c r="I29" s="12" t="s">
        <v>34</v>
      </c>
      <c r="J29" s="4" t="s">
        <v>36</v>
      </c>
      <c r="K29" s="17">
        <v>24</v>
      </c>
      <c r="L29" s="9">
        <v>45859</v>
      </c>
    </row>
    <row r="30" spans="2:15" x14ac:dyDescent="0.35">
      <c r="B30" s="3" t="s">
        <v>5</v>
      </c>
      <c r="C30" s="4" t="s">
        <v>13</v>
      </c>
      <c r="D30" s="8">
        <v>22</v>
      </c>
      <c r="E30" s="6">
        <v>10500</v>
      </c>
      <c r="F30" s="5">
        <f t="shared" si="0"/>
        <v>231000</v>
      </c>
      <c r="G30" s="5">
        <f t="shared" si="1"/>
        <v>43890</v>
      </c>
      <c r="H30" s="12">
        <f t="shared" si="2"/>
        <v>274890</v>
      </c>
      <c r="I30" s="12" t="s">
        <v>34</v>
      </c>
      <c r="J30" s="4" t="s">
        <v>36</v>
      </c>
      <c r="K30" s="16">
        <v>25</v>
      </c>
      <c r="L30" s="9">
        <v>45859</v>
      </c>
    </row>
    <row r="31" spans="2:15" x14ac:dyDescent="0.35">
      <c r="B31" s="3" t="s">
        <v>5</v>
      </c>
      <c r="C31" s="4" t="s">
        <v>13</v>
      </c>
      <c r="D31" s="8">
        <v>66</v>
      </c>
      <c r="E31" s="6">
        <v>10500</v>
      </c>
      <c r="F31" s="5">
        <f t="shared" si="0"/>
        <v>693000</v>
      </c>
      <c r="G31" s="5">
        <f t="shared" si="1"/>
        <v>131670</v>
      </c>
      <c r="H31" s="12">
        <f t="shared" si="2"/>
        <v>824670</v>
      </c>
      <c r="I31" s="12" t="s">
        <v>34</v>
      </c>
      <c r="J31" s="4" t="s">
        <v>37</v>
      </c>
      <c r="K31" s="17">
        <v>26</v>
      </c>
      <c r="L31" s="9">
        <v>45859</v>
      </c>
    </row>
    <row r="32" spans="2:15" x14ac:dyDescent="0.35">
      <c r="B32" s="3" t="s">
        <v>6</v>
      </c>
      <c r="C32" s="4" t="s">
        <v>14</v>
      </c>
      <c r="D32" s="8">
        <v>21</v>
      </c>
      <c r="E32" s="6">
        <v>5000</v>
      </c>
      <c r="F32" s="5">
        <f t="shared" si="0"/>
        <v>105000</v>
      </c>
      <c r="G32" s="5">
        <f t="shared" si="1"/>
        <v>19950</v>
      </c>
      <c r="H32" s="12">
        <f t="shared" si="2"/>
        <v>124950</v>
      </c>
      <c r="I32" s="12" t="s">
        <v>32</v>
      </c>
      <c r="J32" s="4" t="s">
        <v>26</v>
      </c>
      <c r="K32" s="16">
        <v>27</v>
      </c>
      <c r="L32" s="9">
        <v>45859</v>
      </c>
    </row>
    <row r="33" spans="2:12" x14ac:dyDescent="0.35">
      <c r="B33" s="3" t="s">
        <v>8</v>
      </c>
      <c r="C33" s="4" t="s">
        <v>16</v>
      </c>
      <c r="D33" s="8">
        <v>14</v>
      </c>
      <c r="E33" s="6">
        <v>4900</v>
      </c>
      <c r="F33" s="5">
        <f t="shared" si="0"/>
        <v>68600</v>
      </c>
      <c r="G33" s="5">
        <f t="shared" si="1"/>
        <v>13034</v>
      </c>
      <c r="H33" s="12">
        <f t="shared" si="2"/>
        <v>81634</v>
      </c>
      <c r="I33" s="12" t="s">
        <v>32</v>
      </c>
      <c r="J33" s="4" t="s">
        <v>25</v>
      </c>
      <c r="K33" s="17">
        <v>28</v>
      </c>
      <c r="L33" s="9">
        <v>45859</v>
      </c>
    </row>
    <row r="34" spans="2:12" x14ac:dyDescent="0.35">
      <c r="B34" s="3" t="s">
        <v>2</v>
      </c>
      <c r="C34" s="4" t="s">
        <v>10</v>
      </c>
      <c r="D34" s="3">
        <v>21</v>
      </c>
      <c r="E34" s="6">
        <v>7800</v>
      </c>
      <c r="F34" s="5">
        <f t="shared" si="0"/>
        <v>163800</v>
      </c>
      <c r="G34" s="5">
        <f t="shared" si="1"/>
        <v>31122</v>
      </c>
      <c r="H34" s="12">
        <f t="shared" si="2"/>
        <v>194922</v>
      </c>
      <c r="I34" s="12" t="s">
        <v>34</v>
      </c>
      <c r="J34" s="4" t="s">
        <v>36</v>
      </c>
      <c r="K34" s="16">
        <v>29</v>
      </c>
      <c r="L34" s="9">
        <v>45860</v>
      </c>
    </row>
    <row r="35" spans="2:12" x14ac:dyDescent="0.35">
      <c r="B35" s="3" t="s">
        <v>2</v>
      </c>
      <c r="C35" s="4" t="s">
        <v>10</v>
      </c>
      <c r="D35" s="3">
        <v>77</v>
      </c>
      <c r="E35" s="6">
        <v>7800</v>
      </c>
      <c r="F35" s="5">
        <f t="shared" si="0"/>
        <v>600600</v>
      </c>
      <c r="G35" s="5">
        <f t="shared" si="1"/>
        <v>114114</v>
      </c>
      <c r="H35" s="12">
        <f t="shared" si="2"/>
        <v>714714</v>
      </c>
      <c r="I35" s="12" t="s">
        <v>34</v>
      </c>
      <c r="J35" s="4" t="s">
        <v>36</v>
      </c>
      <c r="K35" s="17">
        <v>30</v>
      </c>
      <c r="L35" s="9">
        <v>45860</v>
      </c>
    </row>
    <row r="36" spans="2:12" x14ac:dyDescent="0.35">
      <c r="B36" s="3" t="s">
        <v>3</v>
      </c>
      <c r="C36" s="4" t="s">
        <v>11</v>
      </c>
      <c r="D36" s="8">
        <v>22</v>
      </c>
      <c r="E36" s="6">
        <v>22500</v>
      </c>
      <c r="F36" s="5">
        <f t="shared" si="0"/>
        <v>495000</v>
      </c>
      <c r="G36" s="5">
        <f t="shared" si="1"/>
        <v>94050</v>
      </c>
      <c r="H36" s="12">
        <f t="shared" si="2"/>
        <v>589050</v>
      </c>
      <c r="I36" s="12" t="s">
        <v>32</v>
      </c>
      <c r="J36" s="4" t="s">
        <v>25</v>
      </c>
      <c r="K36" s="16">
        <v>31</v>
      </c>
      <c r="L36" s="9">
        <v>45860</v>
      </c>
    </row>
    <row r="37" spans="2:12" x14ac:dyDescent="0.35">
      <c r="B37" s="3" t="s">
        <v>3</v>
      </c>
      <c r="C37" s="4" t="s">
        <v>11</v>
      </c>
      <c r="D37" s="8">
        <v>22</v>
      </c>
      <c r="E37" s="6">
        <v>22500</v>
      </c>
      <c r="F37" s="5">
        <f t="shared" si="0"/>
        <v>495000</v>
      </c>
      <c r="G37" s="5">
        <f t="shared" si="1"/>
        <v>94050</v>
      </c>
      <c r="H37" s="12">
        <f t="shared" si="2"/>
        <v>589050</v>
      </c>
      <c r="I37" s="12" t="s">
        <v>33</v>
      </c>
      <c r="J37" s="4" t="s">
        <v>29</v>
      </c>
      <c r="K37" s="17">
        <v>32</v>
      </c>
      <c r="L37" s="9">
        <v>45860</v>
      </c>
    </row>
    <row r="38" spans="2:12" x14ac:dyDescent="0.35">
      <c r="B38" s="3" t="s">
        <v>5</v>
      </c>
      <c r="C38" s="4" t="s">
        <v>13</v>
      </c>
      <c r="D38" s="8">
        <v>1</v>
      </c>
      <c r="E38" s="6">
        <v>10500</v>
      </c>
      <c r="F38" s="5">
        <f t="shared" ref="F38:F69" si="3">D38*E38</f>
        <v>10500</v>
      </c>
      <c r="G38" s="5">
        <f t="shared" ref="G38:G69" si="4">F38*$F$1</f>
        <v>1995</v>
      </c>
      <c r="H38" s="12">
        <f t="shared" ref="H38:H69" si="5">F38+G38</f>
        <v>12495</v>
      </c>
      <c r="I38" s="12" t="s">
        <v>32</v>
      </c>
      <c r="J38" s="4" t="s">
        <v>24</v>
      </c>
      <c r="K38" s="16">
        <v>33</v>
      </c>
      <c r="L38" s="9">
        <v>45860</v>
      </c>
    </row>
    <row r="39" spans="2:12" x14ac:dyDescent="0.35">
      <c r="B39" s="3" t="s">
        <v>6</v>
      </c>
      <c r="C39" s="4" t="s">
        <v>14</v>
      </c>
      <c r="D39" s="3">
        <v>37</v>
      </c>
      <c r="E39" s="6">
        <v>5000</v>
      </c>
      <c r="F39" s="5">
        <f t="shared" si="3"/>
        <v>185000</v>
      </c>
      <c r="G39" s="5">
        <f t="shared" si="4"/>
        <v>35150</v>
      </c>
      <c r="H39" s="12">
        <f t="shared" si="5"/>
        <v>220150</v>
      </c>
      <c r="I39" s="12" t="s">
        <v>33</v>
      </c>
      <c r="J39" s="4" t="s">
        <v>35</v>
      </c>
      <c r="K39" s="17">
        <v>34</v>
      </c>
      <c r="L39" s="9">
        <v>45860</v>
      </c>
    </row>
    <row r="40" spans="2:12" x14ac:dyDescent="0.35">
      <c r="B40" s="3" t="s">
        <v>6</v>
      </c>
      <c r="C40" s="4" t="s">
        <v>14</v>
      </c>
      <c r="D40" s="3">
        <v>45</v>
      </c>
      <c r="E40" s="6">
        <v>5000</v>
      </c>
      <c r="F40" s="5">
        <f t="shared" si="3"/>
        <v>225000</v>
      </c>
      <c r="G40" s="5">
        <f t="shared" si="4"/>
        <v>42750</v>
      </c>
      <c r="H40" s="12">
        <f t="shared" si="5"/>
        <v>267750</v>
      </c>
      <c r="I40" s="12" t="s">
        <v>34</v>
      </c>
      <c r="J40" s="4" t="s">
        <v>36</v>
      </c>
      <c r="K40" s="16">
        <v>35</v>
      </c>
      <c r="L40" s="9">
        <v>45860</v>
      </c>
    </row>
    <row r="41" spans="2:12" x14ac:dyDescent="0.35">
      <c r="B41" s="3" t="s">
        <v>6</v>
      </c>
      <c r="C41" s="4" t="s">
        <v>14</v>
      </c>
      <c r="D41" s="3">
        <v>45</v>
      </c>
      <c r="E41" s="6">
        <v>5000</v>
      </c>
      <c r="F41" s="5">
        <f t="shared" si="3"/>
        <v>225000</v>
      </c>
      <c r="G41" s="5">
        <f t="shared" si="4"/>
        <v>42750</v>
      </c>
      <c r="H41" s="12">
        <f t="shared" si="5"/>
        <v>267750</v>
      </c>
      <c r="I41" s="12" t="s">
        <v>34</v>
      </c>
      <c r="J41" s="4" t="s">
        <v>36</v>
      </c>
      <c r="K41" s="17">
        <v>36</v>
      </c>
      <c r="L41" s="9">
        <v>45860</v>
      </c>
    </row>
    <row r="42" spans="2:12" x14ac:dyDescent="0.35">
      <c r="B42" s="3" t="s">
        <v>7</v>
      </c>
      <c r="C42" s="4" t="s">
        <v>15</v>
      </c>
      <c r="D42" s="8">
        <v>6</v>
      </c>
      <c r="E42" s="6">
        <v>4600</v>
      </c>
      <c r="F42" s="5">
        <f t="shared" si="3"/>
        <v>27600</v>
      </c>
      <c r="G42" s="5">
        <f t="shared" si="4"/>
        <v>5244</v>
      </c>
      <c r="H42" s="12">
        <f t="shared" si="5"/>
        <v>32844</v>
      </c>
      <c r="I42" s="12" t="s">
        <v>34</v>
      </c>
      <c r="J42" s="4" t="s">
        <v>37</v>
      </c>
      <c r="K42" s="16">
        <v>37</v>
      </c>
      <c r="L42" s="9">
        <v>45860</v>
      </c>
    </row>
    <row r="43" spans="2:12" x14ac:dyDescent="0.35">
      <c r="B43" s="3" t="s">
        <v>7</v>
      </c>
      <c r="C43" s="4" t="s">
        <v>15</v>
      </c>
      <c r="D43" s="8">
        <v>11</v>
      </c>
      <c r="E43" s="6">
        <v>4600</v>
      </c>
      <c r="F43" s="5">
        <f t="shared" si="3"/>
        <v>50600</v>
      </c>
      <c r="G43" s="5">
        <f t="shared" si="4"/>
        <v>9614</v>
      </c>
      <c r="H43" s="12">
        <f t="shared" si="5"/>
        <v>60214</v>
      </c>
      <c r="I43" s="12" t="s">
        <v>34</v>
      </c>
      <c r="J43" s="4" t="s">
        <v>37</v>
      </c>
      <c r="K43" s="17">
        <v>38</v>
      </c>
      <c r="L43" s="9">
        <v>45860</v>
      </c>
    </row>
    <row r="44" spans="2:12" x14ac:dyDescent="0.35">
      <c r="B44" s="3" t="s">
        <v>7</v>
      </c>
      <c r="C44" s="4" t="s">
        <v>15</v>
      </c>
      <c r="D44" s="8">
        <v>12</v>
      </c>
      <c r="E44" s="6">
        <v>4600</v>
      </c>
      <c r="F44" s="5">
        <f t="shared" si="3"/>
        <v>55200</v>
      </c>
      <c r="G44" s="5">
        <f t="shared" si="4"/>
        <v>10488</v>
      </c>
      <c r="H44" s="12">
        <f t="shared" si="5"/>
        <v>65688</v>
      </c>
      <c r="I44" s="12" t="s">
        <v>32</v>
      </c>
      <c r="J44" s="4" t="s">
        <v>26</v>
      </c>
      <c r="K44" s="16">
        <v>39</v>
      </c>
      <c r="L44" s="9">
        <v>45860</v>
      </c>
    </row>
    <row r="45" spans="2:12" x14ac:dyDescent="0.35">
      <c r="B45" s="3" t="s">
        <v>7</v>
      </c>
      <c r="C45" s="4" t="s">
        <v>15</v>
      </c>
      <c r="D45" s="8">
        <v>17</v>
      </c>
      <c r="E45" s="6">
        <v>4600</v>
      </c>
      <c r="F45" s="5">
        <f t="shared" si="3"/>
        <v>78200</v>
      </c>
      <c r="G45" s="5">
        <f t="shared" si="4"/>
        <v>14858</v>
      </c>
      <c r="H45" s="12">
        <f t="shared" si="5"/>
        <v>93058</v>
      </c>
      <c r="I45" s="12" t="s">
        <v>33</v>
      </c>
      <c r="J45" s="4" t="s">
        <v>29</v>
      </c>
      <c r="K45" s="17">
        <v>40</v>
      </c>
      <c r="L45" s="9">
        <v>45860</v>
      </c>
    </row>
    <row r="46" spans="2:12" x14ac:dyDescent="0.35">
      <c r="B46" s="3" t="s">
        <v>7</v>
      </c>
      <c r="C46" s="4" t="s">
        <v>15</v>
      </c>
      <c r="D46" s="8">
        <v>22</v>
      </c>
      <c r="E46" s="6">
        <v>4600</v>
      </c>
      <c r="F46" s="5">
        <f t="shared" si="3"/>
        <v>101200</v>
      </c>
      <c r="G46" s="5">
        <f t="shared" si="4"/>
        <v>19228</v>
      </c>
      <c r="H46" s="12">
        <f t="shared" si="5"/>
        <v>120428</v>
      </c>
      <c r="I46" s="12" t="s">
        <v>34</v>
      </c>
      <c r="J46" s="4" t="s">
        <v>37</v>
      </c>
      <c r="K46" s="16">
        <v>41</v>
      </c>
      <c r="L46" s="9">
        <v>45860</v>
      </c>
    </row>
    <row r="47" spans="2:12" x14ac:dyDescent="0.35">
      <c r="B47" s="3" t="s">
        <v>7</v>
      </c>
      <c r="C47" s="4" t="s">
        <v>15</v>
      </c>
      <c r="D47" s="3">
        <v>33</v>
      </c>
      <c r="E47" s="6">
        <v>4600</v>
      </c>
      <c r="F47" s="5">
        <f t="shared" si="3"/>
        <v>151800</v>
      </c>
      <c r="G47" s="5">
        <f t="shared" si="4"/>
        <v>28842</v>
      </c>
      <c r="H47" s="12">
        <f t="shared" si="5"/>
        <v>180642</v>
      </c>
      <c r="I47" s="12" t="s">
        <v>32</v>
      </c>
      <c r="J47" s="4" t="s">
        <v>26</v>
      </c>
      <c r="K47" s="17">
        <v>42</v>
      </c>
      <c r="L47" s="9">
        <v>45860</v>
      </c>
    </row>
    <row r="48" spans="2:12" x14ac:dyDescent="0.35">
      <c r="B48" s="3" t="s">
        <v>7</v>
      </c>
      <c r="C48" s="4" t="s">
        <v>15</v>
      </c>
      <c r="D48" s="8">
        <v>34</v>
      </c>
      <c r="E48" s="6">
        <v>4600</v>
      </c>
      <c r="F48" s="5">
        <f t="shared" si="3"/>
        <v>156400</v>
      </c>
      <c r="G48" s="5">
        <f t="shared" si="4"/>
        <v>29716</v>
      </c>
      <c r="H48" s="12">
        <f t="shared" si="5"/>
        <v>186116</v>
      </c>
      <c r="I48" s="12" t="s">
        <v>34</v>
      </c>
      <c r="J48" s="4" t="s">
        <v>37</v>
      </c>
      <c r="K48" s="16">
        <v>43</v>
      </c>
      <c r="L48" s="9">
        <v>45860</v>
      </c>
    </row>
    <row r="49" spans="2:12" x14ac:dyDescent="0.35">
      <c r="B49" s="3" t="s">
        <v>1</v>
      </c>
      <c r="C49" s="4" t="s">
        <v>9</v>
      </c>
      <c r="D49" s="8">
        <v>5</v>
      </c>
      <c r="E49" s="6">
        <v>5500</v>
      </c>
      <c r="F49" s="5">
        <f t="shared" si="3"/>
        <v>27500</v>
      </c>
      <c r="G49" s="5">
        <f t="shared" si="4"/>
        <v>5225</v>
      </c>
      <c r="H49" s="12">
        <f t="shared" si="5"/>
        <v>32725</v>
      </c>
      <c r="I49" s="12" t="s">
        <v>34</v>
      </c>
      <c r="J49" s="4" t="s">
        <v>36</v>
      </c>
      <c r="K49" s="17">
        <v>44</v>
      </c>
      <c r="L49" s="9">
        <v>45861</v>
      </c>
    </row>
    <row r="50" spans="2:12" x14ac:dyDescent="0.35">
      <c r="B50" s="3" t="s">
        <v>1</v>
      </c>
      <c r="C50" s="4" t="s">
        <v>9</v>
      </c>
      <c r="D50" s="8">
        <v>9</v>
      </c>
      <c r="E50" s="6">
        <v>5500</v>
      </c>
      <c r="F50" s="5">
        <f t="shared" si="3"/>
        <v>49500</v>
      </c>
      <c r="G50" s="5">
        <f t="shared" si="4"/>
        <v>9405</v>
      </c>
      <c r="H50" s="12">
        <f t="shared" si="5"/>
        <v>58905</v>
      </c>
      <c r="I50" s="12" t="s">
        <v>34</v>
      </c>
      <c r="J50" s="4" t="s">
        <v>36</v>
      </c>
      <c r="K50" s="16">
        <v>45</v>
      </c>
      <c r="L50" s="9">
        <v>45861</v>
      </c>
    </row>
    <row r="51" spans="2:12" x14ac:dyDescent="0.35">
      <c r="B51" s="3" t="s">
        <v>1</v>
      </c>
      <c r="C51" s="4" t="s">
        <v>9</v>
      </c>
      <c r="D51" s="8">
        <v>22</v>
      </c>
      <c r="E51" s="6">
        <v>5500</v>
      </c>
      <c r="F51" s="5">
        <f t="shared" si="3"/>
        <v>121000</v>
      </c>
      <c r="G51" s="5">
        <f t="shared" si="4"/>
        <v>22990</v>
      </c>
      <c r="H51" s="12">
        <f t="shared" si="5"/>
        <v>143990</v>
      </c>
      <c r="I51" s="12" t="s">
        <v>33</v>
      </c>
      <c r="J51" s="4" t="s">
        <v>35</v>
      </c>
      <c r="K51" s="17">
        <v>46</v>
      </c>
      <c r="L51" s="9">
        <v>45861</v>
      </c>
    </row>
    <row r="52" spans="2:12" x14ac:dyDescent="0.35">
      <c r="B52" s="3" t="s">
        <v>1</v>
      </c>
      <c r="C52" s="4" t="s">
        <v>9</v>
      </c>
      <c r="D52" s="8">
        <v>21</v>
      </c>
      <c r="E52" s="6">
        <v>5500</v>
      </c>
      <c r="F52" s="5">
        <f t="shared" si="3"/>
        <v>115500</v>
      </c>
      <c r="G52" s="5">
        <f t="shared" si="4"/>
        <v>21945</v>
      </c>
      <c r="H52" s="12">
        <f t="shared" si="5"/>
        <v>137445</v>
      </c>
      <c r="I52" s="12" t="s">
        <v>34</v>
      </c>
      <c r="J52" s="4" t="s">
        <v>36</v>
      </c>
      <c r="K52" s="16">
        <v>47</v>
      </c>
      <c r="L52" s="9">
        <v>45861</v>
      </c>
    </row>
    <row r="53" spans="2:12" x14ac:dyDescent="0.35">
      <c r="B53" s="3" t="s">
        <v>1</v>
      </c>
      <c r="C53" s="4" t="s">
        <v>9</v>
      </c>
      <c r="D53" s="8">
        <v>44</v>
      </c>
      <c r="E53" s="6">
        <v>5500</v>
      </c>
      <c r="F53" s="5">
        <f t="shared" si="3"/>
        <v>242000</v>
      </c>
      <c r="G53" s="5">
        <f t="shared" si="4"/>
        <v>45980</v>
      </c>
      <c r="H53" s="12">
        <f t="shared" si="5"/>
        <v>287980</v>
      </c>
      <c r="I53" s="12" t="s">
        <v>34</v>
      </c>
      <c r="J53" s="4" t="s">
        <v>36</v>
      </c>
      <c r="K53" s="17">
        <v>48</v>
      </c>
      <c r="L53" s="9">
        <v>45861</v>
      </c>
    </row>
    <row r="54" spans="2:12" x14ac:dyDescent="0.35">
      <c r="B54" s="3" t="s">
        <v>2</v>
      </c>
      <c r="C54" s="4" t="s">
        <v>10</v>
      </c>
      <c r="D54" s="8">
        <v>13</v>
      </c>
      <c r="E54" s="6">
        <v>7800</v>
      </c>
      <c r="F54" s="5">
        <f t="shared" si="3"/>
        <v>101400</v>
      </c>
      <c r="G54" s="5">
        <f t="shared" si="4"/>
        <v>19266</v>
      </c>
      <c r="H54" s="12">
        <f t="shared" si="5"/>
        <v>120666</v>
      </c>
      <c r="I54" s="12" t="s">
        <v>32</v>
      </c>
      <c r="J54" s="4" t="s">
        <v>24</v>
      </c>
      <c r="K54" s="16">
        <v>49</v>
      </c>
      <c r="L54" s="9">
        <v>45861</v>
      </c>
    </row>
    <row r="55" spans="2:12" x14ac:dyDescent="0.35">
      <c r="B55" s="3" t="s">
        <v>2</v>
      </c>
      <c r="C55" s="4" t="s">
        <v>10</v>
      </c>
      <c r="D55" s="8">
        <v>20</v>
      </c>
      <c r="E55" s="6">
        <v>7800</v>
      </c>
      <c r="F55" s="5">
        <f t="shared" si="3"/>
        <v>156000</v>
      </c>
      <c r="G55" s="5">
        <f t="shared" si="4"/>
        <v>29640</v>
      </c>
      <c r="H55" s="12">
        <f t="shared" si="5"/>
        <v>185640</v>
      </c>
      <c r="I55" s="12" t="s">
        <v>32</v>
      </c>
      <c r="J55" s="4" t="s">
        <v>26</v>
      </c>
      <c r="K55" s="17">
        <v>50</v>
      </c>
      <c r="L55" s="9">
        <v>45861</v>
      </c>
    </row>
    <row r="56" spans="2:12" x14ac:dyDescent="0.35">
      <c r="B56" s="3" t="s">
        <v>2</v>
      </c>
      <c r="C56" s="4" t="s">
        <v>10</v>
      </c>
      <c r="D56" s="8">
        <v>23</v>
      </c>
      <c r="E56" s="6">
        <v>7800</v>
      </c>
      <c r="F56" s="5">
        <f t="shared" si="3"/>
        <v>179400</v>
      </c>
      <c r="G56" s="5">
        <f t="shared" si="4"/>
        <v>34086</v>
      </c>
      <c r="H56" s="12">
        <f t="shared" si="5"/>
        <v>213486</v>
      </c>
      <c r="I56" s="12" t="s">
        <v>34</v>
      </c>
      <c r="J56" s="4" t="s">
        <v>37</v>
      </c>
      <c r="K56" s="16">
        <v>51</v>
      </c>
      <c r="L56" s="9">
        <v>45861</v>
      </c>
    </row>
    <row r="57" spans="2:12" x14ac:dyDescent="0.35">
      <c r="B57" s="3" t="s">
        <v>2</v>
      </c>
      <c r="C57" s="4" t="s">
        <v>10</v>
      </c>
      <c r="D57" s="8">
        <v>55</v>
      </c>
      <c r="E57" s="6">
        <v>7800</v>
      </c>
      <c r="F57" s="5">
        <f t="shared" si="3"/>
        <v>429000</v>
      </c>
      <c r="G57" s="5">
        <f t="shared" si="4"/>
        <v>81510</v>
      </c>
      <c r="H57" s="12">
        <f t="shared" si="5"/>
        <v>510510</v>
      </c>
      <c r="I57" s="12" t="s">
        <v>33</v>
      </c>
      <c r="J57" s="4" t="s">
        <v>35</v>
      </c>
      <c r="K57" s="17">
        <v>52</v>
      </c>
      <c r="L57" s="9">
        <v>45861</v>
      </c>
    </row>
    <row r="58" spans="2:12" x14ac:dyDescent="0.35">
      <c r="B58" s="3" t="s">
        <v>2</v>
      </c>
      <c r="C58" s="4" t="s">
        <v>10</v>
      </c>
      <c r="D58" s="8">
        <v>88</v>
      </c>
      <c r="E58" s="6">
        <v>7800</v>
      </c>
      <c r="F58" s="5">
        <f t="shared" si="3"/>
        <v>686400</v>
      </c>
      <c r="G58" s="5">
        <f t="shared" si="4"/>
        <v>130416</v>
      </c>
      <c r="H58" s="12">
        <f t="shared" si="5"/>
        <v>816816</v>
      </c>
      <c r="I58" s="12" t="s">
        <v>34</v>
      </c>
      <c r="J58" s="4" t="s">
        <v>37</v>
      </c>
      <c r="K58" s="16">
        <v>53</v>
      </c>
      <c r="L58" s="9">
        <v>45861</v>
      </c>
    </row>
    <row r="59" spans="2:12" x14ac:dyDescent="0.35">
      <c r="B59" s="3" t="s">
        <v>4</v>
      </c>
      <c r="C59" s="4" t="s">
        <v>12</v>
      </c>
      <c r="D59" s="3">
        <v>23</v>
      </c>
      <c r="E59" s="6">
        <v>9600</v>
      </c>
      <c r="F59" s="5">
        <f t="shared" si="3"/>
        <v>220800</v>
      </c>
      <c r="G59" s="5">
        <f t="shared" si="4"/>
        <v>41952</v>
      </c>
      <c r="H59" s="12">
        <f t="shared" si="5"/>
        <v>262752</v>
      </c>
      <c r="I59" s="12" t="s">
        <v>34</v>
      </c>
      <c r="J59" s="4" t="s">
        <v>37</v>
      </c>
      <c r="K59" s="17">
        <v>54</v>
      </c>
      <c r="L59" s="9">
        <v>45861</v>
      </c>
    </row>
    <row r="60" spans="2:12" x14ac:dyDescent="0.35">
      <c r="B60" s="4" t="s">
        <v>4</v>
      </c>
      <c r="C60" s="4" t="s">
        <v>12</v>
      </c>
      <c r="D60" s="4">
        <v>44</v>
      </c>
      <c r="E60" s="5">
        <v>9600</v>
      </c>
      <c r="F60" s="5">
        <f t="shared" si="3"/>
        <v>422400</v>
      </c>
      <c r="G60" s="5">
        <f t="shared" si="4"/>
        <v>80256</v>
      </c>
      <c r="H60" s="12">
        <f t="shared" si="5"/>
        <v>502656</v>
      </c>
      <c r="I60" s="12" t="s">
        <v>34</v>
      </c>
      <c r="J60" s="4" t="s">
        <v>37</v>
      </c>
      <c r="K60" s="16">
        <v>55</v>
      </c>
      <c r="L60" s="9">
        <v>45861</v>
      </c>
    </row>
    <row r="61" spans="2:12" x14ac:dyDescent="0.35">
      <c r="B61" s="3" t="s">
        <v>4</v>
      </c>
      <c r="C61" s="4" t="s">
        <v>12</v>
      </c>
      <c r="D61" s="3">
        <v>59</v>
      </c>
      <c r="E61" s="6">
        <v>9600</v>
      </c>
      <c r="F61" s="5">
        <f t="shared" si="3"/>
        <v>566400</v>
      </c>
      <c r="G61" s="5">
        <f t="shared" si="4"/>
        <v>107616</v>
      </c>
      <c r="H61" s="12">
        <f t="shared" si="5"/>
        <v>674016</v>
      </c>
      <c r="I61" s="12" t="s">
        <v>33</v>
      </c>
      <c r="J61" s="4" t="s">
        <v>29</v>
      </c>
      <c r="K61" s="17">
        <v>56</v>
      </c>
      <c r="L61" s="9">
        <v>45861</v>
      </c>
    </row>
    <row r="62" spans="2:12" x14ac:dyDescent="0.35">
      <c r="B62" s="3" t="s">
        <v>5</v>
      </c>
      <c r="C62" s="4" t="s">
        <v>13</v>
      </c>
      <c r="D62" s="8">
        <v>15</v>
      </c>
      <c r="E62" s="6">
        <v>10500</v>
      </c>
      <c r="F62" s="5">
        <f t="shared" si="3"/>
        <v>157500</v>
      </c>
      <c r="G62" s="5">
        <f t="shared" si="4"/>
        <v>29925</v>
      </c>
      <c r="H62" s="12">
        <f t="shared" si="5"/>
        <v>187425</v>
      </c>
      <c r="I62" s="12" t="s">
        <v>32</v>
      </c>
      <c r="J62" s="4" t="s">
        <v>25</v>
      </c>
      <c r="K62" s="16">
        <v>57</v>
      </c>
      <c r="L62" s="9">
        <v>45861</v>
      </c>
    </row>
    <row r="63" spans="2:12" x14ac:dyDescent="0.35">
      <c r="B63" s="3" t="s">
        <v>6</v>
      </c>
      <c r="C63" s="4" t="s">
        <v>14</v>
      </c>
      <c r="D63" s="8">
        <v>45</v>
      </c>
      <c r="E63" s="6">
        <v>5000</v>
      </c>
      <c r="F63" s="5">
        <f t="shared" si="3"/>
        <v>225000</v>
      </c>
      <c r="G63" s="5">
        <f t="shared" si="4"/>
        <v>42750</v>
      </c>
      <c r="H63" s="12">
        <f t="shared" si="5"/>
        <v>267750</v>
      </c>
      <c r="I63" s="12" t="s">
        <v>33</v>
      </c>
      <c r="J63" s="4" t="s">
        <v>29</v>
      </c>
      <c r="K63" s="17">
        <v>58</v>
      </c>
      <c r="L63" s="9">
        <v>45861</v>
      </c>
    </row>
    <row r="64" spans="2:12" x14ac:dyDescent="0.35">
      <c r="B64" s="3" t="s">
        <v>2</v>
      </c>
      <c r="C64" s="4" t="s">
        <v>10</v>
      </c>
      <c r="D64" s="3">
        <v>17</v>
      </c>
      <c r="E64" s="6">
        <v>7800</v>
      </c>
      <c r="F64" s="5">
        <f t="shared" si="3"/>
        <v>132600</v>
      </c>
      <c r="G64" s="5">
        <f t="shared" si="4"/>
        <v>25194</v>
      </c>
      <c r="H64" s="12">
        <f t="shared" si="5"/>
        <v>157794</v>
      </c>
      <c r="I64" s="12" t="s">
        <v>32</v>
      </c>
      <c r="J64" s="4" t="s">
        <v>26</v>
      </c>
      <c r="K64" s="16">
        <v>59</v>
      </c>
      <c r="L64" s="9">
        <v>45862</v>
      </c>
    </row>
    <row r="65" spans="2:12" x14ac:dyDescent="0.35">
      <c r="B65" s="3" t="s">
        <v>3</v>
      </c>
      <c r="C65" s="4" t="s">
        <v>11</v>
      </c>
      <c r="D65" s="8">
        <v>34</v>
      </c>
      <c r="E65" s="6">
        <v>22500</v>
      </c>
      <c r="F65" s="5">
        <f t="shared" si="3"/>
        <v>765000</v>
      </c>
      <c r="G65" s="5">
        <f t="shared" si="4"/>
        <v>145350</v>
      </c>
      <c r="H65" s="12">
        <f t="shared" si="5"/>
        <v>910350</v>
      </c>
      <c r="I65" s="12" t="s">
        <v>33</v>
      </c>
      <c r="J65" s="4" t="s">
        <v>35</v>
      </c>
      <c r="K65" s="17">
        <v>60</v>
      </c>
      <c r="L65" s="9">
        <v>45862</v>
      </c>
    </row>
    <row r="66" spans="2:12" x14ac:dyDescent="0.35">
      <c r="B66" s="3" t="s">
        <v>4</v>
      </c>
      <c r="C66" s="4" t="s">
        <v>12</v>
      </c>
      <c r="D66" s="8">
        <v>29</v>
      </c>
      <c r="E66" s="6">
        <v>9600</v>
      </c>
      <c r="F66" s="5">
        <f t="shared" si="3"/>
        <v>278400</v>
      </c>
      <c r="G66" s="5">
        <f t="shared" si="4"/>
        <v>52896</v>
      </c>
      <c r="H66" s="12">
        <f t="shared" si="5"/>
        <v>331296</v>
      </c>
      <c r="I66" s="12" t="s">
        <v>33</v>
      </c>
      <c r="J66" s="4" t="s">
        <v>29</v>
      </c>
      <c r="K66" s="16">
        <v>61</v>
      </c>
      <c r="L66" s="9">
        <v>45862</v>
      </c>
    </row>
    <row r="67" spans="2:12" x14ac:dyDescent="0.35">
      <c r="B67" s="3" t="s">
        <v>4</v>
      </c>
      <c r="C67" s="4" t="s">
        <v>12</v>
      </c>
      <c r="D67" s="8">
        <v>54</v>
      </c>
      <c r="E67" s="6">
        <v>9600</v>
      </c>
      <c r="F67" s="5">
        <f t="shared" si="3"/>
        <v>518400</v>
      </c>
      <c r="G67" s="5">
        <f t="shared" si="4"/>
        <v>98496</v>
      </c>
      <c r="H67" s="12">
        <f t="shared" si="5"/>
        <v>616896</v>
      </c>
      <c r="I67" s="12" t="s">
        <v>34</v>
      </c>
      <c r="J67" s="4" t="s">
        <v>37</v>
      </c>
      <c r="K67" s="17">
        <v>62</v>
      </c>
      <c r="L67" s="9">
        <v>45862</v>
      </c>
    </row>
    <row r="68" spans="2:12" x14ac:dyDescent="0.35">
      <c r="B68" s="3" t="s">
        <v>4</v>
      </c>
      <c r="C68" s="4" t="s">
        <v>12</v>
      </c>
      <c r="D68" s="8">
        <v>88</v>
      </c>
      <c r="E68" s="6">
        <v>9600</v>
      </c>
      <c r="F68" s="5">
        <f t="shared" si="3"/>
        <v>844800</v>
      </c>
      <c r="G68" s="5">
        <f t="shared" si="4"/>
        <v>160512</v>
      </c>
      <c r="H68" s="12">
        <f t="shared" si="5"/>
        <v>1005312</v>
      </c>
      <c r="I68" s="12" t="s">
        <v>34</v>
      </c>
      <c r="J68" s="4" t="s">
        <v>37</v>
      </c>
      <c r="K68" s="16">
        <v>63</v>
      </c>
      <c r="L68" s="9">
        <v>45862</v>
      </c>
    </row>
    <row r="69" spans="2:12" x14ac:dyDescent="0.35">
      <c r="B69" s="3" t="s">
        <v>5</v>
      </c>
      <c r="C69" s="4" t="s">
        <v>13</v>
      </c>
      <c r="D69" s="3">
        <v>34</v>
      </c>
      <c r="E69" s="6">
        <v>10500</v>
      </c>
      <c r="F69" s="5">
        <f t="shared" si="3"/>
        <v>357000</v>
      </c>
      <c r="G69" s="5">
        <f t="shared" si="4"/>
        <v>67830</v>
      </c>
      <c r="H69" s="12">
        <f t="shared" si="5"/>
        <v>424830</v>
      </c>
      <c r="I69" s="12" t="s">
        <v>32</v>
      </c>
      <c r="J69" s="4" t="s">
        <v>24</v>
      </c>
      <c r="K69" s="17">
        <v>64</v>
      </c>
      <c r="L69" s="9">
        <v>45862</v>
      </c>
    </row>
    <row r="70" spans="2:12" x14ac:dyDescent="0.35">
      <c r="B70" s="3" t="s">
        <v>5</v>
      </c>
      <c r="C70" s="4" t="s">
        <v>13</v>
      </c>
      <c r="D70" s="3">
        <v>77</v>
      </c>
      <c r="E70" s="6">
        <v>10500</v>
      </c>
      <c r="F70" s="5">
        <f t="shared" ref="F70:F101" si="6">D70*E70</f>
        <v>808500</v>
      </c>
      <c r="G70" s="5">
        <f t="shared" ref="G70:G101" si="7">F70*$F$1</f>
        <v>153615</v>
      </c>
      <c r="H70" s="12">
        <f t="shared" ref="H70:H101" si="8">F70+G70</f>
        <v>962115</v>
      </c>
      <c r="I70" s="12" t="s">
        <v>33</v>
      </c>
      <c r="J70" s="4" t="s">
        <v>29</v>
      </c>
      <c r="K70" s="16">
        <v>65</v>
      </c>
      <c r="L70" s="9">
        <v>45862</v>
      </c>
    </row>
    <row r="71" spans="2:12" x14ac:dyDescent="0.35">
      <c r="B71" s="3" t="s">
        <v>6</v>
      </c>
      <c r="C71" s="4" t="s">
        <v>14</v>
      </c>
      <c r="D71" s="8">
        <v>10</v>
      </c>
      <c r="E71" s="6">
        <v>5000</v>
      </c>
      <c r="F71" s="5">
        <f t="shared" si="6"/>
        <v>50000</v>
      </c>
      <c r="G71" s="5">
        <f t="shared" si="7"/>
        <v>9500</v>
      </c>
      <c r="H71" s="12">
        <f t="shared" si="8"/>
        <v>59500</v>
      </c>
      <c r="I71" s="12" t="s">
        <v>34</v>
      </c>
      <c r="J71" s="4" t="s">
        <v>37</v>
      </c>
      <c r="K71" s="17">
        <v>66</v>
      </c>
      <c r="L71" s="9">
        <v>45862</v>
      </c>
    </row>
    <row r="72" spans="2:12" x14ac:dyDescent="0.35">
      <c r="B72" s="3" t="s">
        <v>6</v>
      </c>
      <c r="C72" s="4" t="s">
        <v>14</v>
      </c>
      <c r="D72" s="8">
        <v>34</v>
      </c>
      <c r="E72" s="6">
        <v>5000</v>
      </c>
      <c r="F72" s="5">
        <f t="shared" si="6"/>
        <v>170000</v>
      </c>
      <c r="G72" s="5">
        <f t="shared" si="7"/>
        <v>32300</v>
      </c>
      <c r="H72" s="12">
        <f t="shared" si="8"/>
        <v>202300</v>
      </c>
      <c r="I72" s="12" t="s">
        <v>34</v>
      </c>
      <c r="J72" s="4" t="s">
        <v>37</v>
      </c>
      <c r="K72" s="16">
        <v>67</v>
      </c>
      <c r="L72" s="9">
        <v>45862</v>
      </c>
    </row>
    <row r="73" spans="2:12" x14ac:dyDescent="0.35">
      <c r="B73" s="3" t="s">
        <v>8</v>
      </c>
      <c r="C73" s="4" t="s">
        <v>16</v>
      </c>
      <c r="D73" s="8">
        <v>5</v>
      </c>
      <c r="E73" s="6">
        <v>4900</v>
      </c>
      <c r="F73" s="5">
        <f t="shared" si="6"/>
        <v>24500</v>
      </c>
      <c r="G73" s="5">
        <f t="shared" si="7"/>
        <v>4655</v>
      </c>
      <c r="H73" s="12">
        <f t="shared" si="8"/>
        <v>29155</v>
      </c>
      <c r="I73" s="12" t="s">
        <v>33</v>
      </c>
      <c r="J73" s="4" t="s">
        <v>35</v>
      </c>
      <c r="K73" s="17">
        <v>68</v>
      </c>
      <c r="L73" s="9">
        <v>45862</v>
      </c>
    </row>
    <row r="74" spans="2:12" x14ac:dyDescent="0.35">
      <c r="B74" s="3" t="s">
        <v>8</v>
      </c>
      <c r="C74" s="4" t="s">
        <v>16</v>
      </c>
      <c r="D74" s="8">
        <v>15</v>
      </c>
      <c r="E74" s="6">
        <v>4900</v>
      </c>
      <c r="F74" s="5">
        <f t="shared" si="6"/>
        <v>73500</v>
      </c>
      <c r="G74" s="5">
        <f t="shared" si="7"/>
        <v>13965</v>
      </c>
      <c r="H74" s="12">
        <f t="shared" si="8"/>
        <v>87465</v>
      </c>
      <c r="I74" s="12" t="s">
        <v>32</v>
      </c>
      <c r="J74" s="4" t="s">
        <v>25</v>
      </c>
      <c r="K74" s="16">
        <v>69</v>
      </c>
      <c r="L74" s="9">
        <v>45862</v>
      </c>
    </row>
    <row r="75" spans="2:12" x14ac:dyDescent="0.35">
      <c r="B75" s="3" t="s">
        <v>8</v>
      </c>
      <c r="C75" s="4" t="s">
        <v>16</v>
      </c>
      <c r="D75" s="8">
        <v>33</v>
      </c>
      <c r="E75" s="6">
        <v>4900</v>
      </c>
      <c r="F75" s="5">
        <f t="shared" si="6"/>
        <v>161700</v>
      </c>
      <c r="G75" s="5">
        <f t="shared" si="7"/>
        <v>30723</v>
      </c>
      <c r="H75" s="12">
        <f t="shared" si="8"/>
        <v>192423</v>
      </c>
      <c r="I75" s="12" t="s">
        <v>34</v>
      </c>
      <c r="J75" s="4" t="s">
        <v>36</v>
      </c>
      <c r="K75" s="17">
        <v>70</v>
      </c>
      <c r="L75" s="9">
        <v>45862</v>
      </c>
    </row>
    <row r="76" spans="2:12" x14ac:dyDescent="0.35">
      <c r="B76" s="3" t="s">
        <v>8</v>
      </c>
      <c r="C76" s="4" t="s">
        <v>16</v>
      </c>
      <c r="D76" s="8">
        <v>99</v>
      </c>
      <c r="E76" s="6">
        <v>4900</v>
      </c>
      <c r="F76" s="5">
        <f t="shared" si="6"/>
        <v>485100</v>
      </c>
      <c r="G76" s="5">
        <f t="shared" si="7"/>
        <v>92169</v>
      </c>
      <c r="H76" s="12">
        <f t="shared" si="8"/>
        <v>577269</v>
      </c>
      <c r="I76" s="12" t="s">
        <v>34</v>
      </c>
      <c r="J76" s="4" t="s">
        <v>36</v>
      </c>
      <c r="K76" s="16">
        <v>71</v>
      </c>
      <c r="L76" s="9">
        <v>45862</v>
      </c>
    </row>
    <row r="77" spans="2:12" x14ac:dyDescent="0.35">
      <c r="B77" s="3" t="s">
        <v>1</v>
      </c>
      <c r="C77" s="4" t="s">
        <v>16</v>
      </c>
      <c r="D77" s="8">
        <v>99</v>
      </c>
      <c r="E77" s="6">
        <v>4900</v>
      </c>
      <c r="F77" s="5">
        <f t="shared" si="6"/>
        <v>485100</v>
      </c>
      <c r="G77" s="5">
        <f t="shared" si="7"/>
        <v>92169</v>
      </c>
      <c r="H77" s="12">
        <f t="shared" si="8"/>
        <v>577269</v>
      </c>
      <c r="I77" s="12" t="s">
        <v>34</v>
      </c>
      <c r="J77" s="4" t="s">
        <v>36</v>
      </c>
      <c r="K77" s="17">
        <v>72</v>
      </c>
      <c r="L77" s="9">
        <v>45862</v>
      </c>
    </row>
    <row r="78" spans="2:12" x14ac:dyDescent="0.35">
      <c r="B78" s="3" t="s">
        <v>1</v>
      </c>
      <c r="C78" s="4" t="s">
        <v>9</v>
      </c>
      <c r="D78" s="3">
        <v>19</v>
      </c>
      <c r="E78" s="6">
        <v>5500</v>
      </c>
      <c r="F78" s="5">
        <f t="shared" si="6"/>
        <v>104500</v>
      </c>
      <c r="G78" s="5">
        <f t="shared" si="7"/>
        <v>19855</v>
      </c>
      <c r="H78" s="12">
        <f t="shared" si="8"/>
        <v>124355</v>
      </c>
      <c r="I78" s="12" t="s">
        <v>32</v>
      </c>
      <c r="J78" s="4" t="s">
        <v>24</v>
      </c>
      <c r="K78" s="16">
        <v>73</v>
      </c>
      <c r="L78" s="9">
        <v>45879</v>
      </c>
    </row>
    <row r="79" spans="2:12" x14ac:dyDescent="0.35">
      <c r="B79" s="3" t="s">
        <v>1</v>
      </c>
      <c r="C79" s="4" t="s">
        <v>9</v>
      </c>
      <c r="D79" s="3">
        <v>21</v>
      </c>
      <c r="E79" s="6">
        <v>5500</v>
      </c>
      <c r="F79" s="5">
        <f t="shared" si="6"/>
        <v>115500</v>
      </c>
      <c r="G79" s="5">
        <f t="shared" si="7"/>
        <v>21945</v>
      </c>
      <c r="H79" s="12">
        <f t="shared" si="8"/>
        <v>137445</v>
      </c>
      <c r="I79" s="12" t="s">
        <v>33</v>
      </c>
      <c r="J79" s="4" t="s">
        <v>35</v>
      </c>
      <c r="K79" s="17">
        <v>74</v>
      </c>
      <c r="L79" s="9">
        <v>45879</v>
      </c>
    </row>
    <row r="80" spans="2:12" x14ac:dyDescent="0.35">
      <c r="B80" s="3" t="s">
        <v>2</v>
      </c>
      <c r="C80" s="4" t="s">
        <v>10</v>
      </c>
      <c r="D80" s="8">
        <v>23</v>
      </c>
      <c r="E80" s="6">
        <v>7800</v>
      </c>
      <c r="F80" s="5">
        <f t="shared" si="6"/>
        <v>179400</v>
      </c>
      <c r="G80" s="5">
        <f t="shared" si="7"/>
        <v>34086</v>
      </c>
      <c r="H80" s="12">
        <f t="shared" si="8"/>
        <v>213486</v>
      </c>
      <c r="I80" s="12" t="s">
        <v>32</v>
      </c>
      <c r="J80" s="4" t="s">
        <v>26</v>
      </c>
      <c r="K80" s="16">
        <v>75</v>
      </c>
      <c r="L80" s="9">
        <v>45879</v>
      </c>
    </row>
    <row r="81" spans="2:12" x14ac:dyDescent="0.35">
      <c r="B81" s="3" t="s">
        <v>2</v>
      </c>
      <c r="C81" s="4" t="s">
        <v>10</v>
      </c>
      <c r="D81" s="8">
        <v>55</v>
      </c>
      <c r="E81" s="6">
        <v>7800</v>
      </c>
      <c r="F81" s="5">
        <f t="shared" si="6"/>
        <v>429000</v>
      </c>
      <c r="G81" s="5">
        <f t="shared" si="7"/>
        <v>81510</v>
      </c>
      <c r="H81" s="12">
        <f t="shared" si="8"/>
        <v>510510</v>
      </c>
      <c r="I81" s="12" t="s">
        <v>33</v>
      </c>
      <c r="J81" s="4" t="s">
        <v>35</v>
      </c>
      <c r="K81" s="17">
        <v>76</v>
      </c>
      <c r="L81" s="9">
        <v>45879</v>
      </c>
    </row>
    <row r="82" spans="2:12" x14ac:dyDescent="0.35">
      <c r="B82" s="3" t="s">
        <v>4</v>
      </c>
      <c r="C82" s="4" t="s">
        <v>12</v>
      </c>
      <c r="D82" s="8">
        <v>100</v>
      </c>
      <c r="E82" s="6">
        <v>9600</v>
      </c>
      <c r="F82" s="5">
        <f t="shared" si="6"/>
        <v>960000</v>
      </c>
      <c r="G82" s="5">
        <f t="shared" si="7"/>
        <v>182400</v>
      </c>
      <c r="H82" s="12">
        <f t="shared" si="8"/>
        <v>1142400</v>
      </c>
      <c r="I82" s="12" t="s">
        <v>32</v>
      </c>
      <c r="J82" s="4" t="s">
        <v>24</v>
      </c>
      <c r="K82" s="16">
        <v>77</v>
      </c>
      <c r="L82" s="9">
        <v>45879</v>
      </c>
    </row>
    <row r="83" spans="2:12" x14ac:dyDescent="0.35">
      <c r="B83" s="3" t="s">
        <v>5</v>
      </c>
      <c r="C83" s="4" t="s">
        <v>13</v>
      </c>
      <c r="D83" s="8">
        <v>13</v>
      </c>
      <c r="E83" s="6">
        <v>10500</v>
      </c>
      <c r="F83" s="5">
        <f t="shared" si="6"/>
        <v>136500</v>
      </c>
      <c r="G83" s="5">
        <f t="shared" si="7"/>
        <v>25935</v>
      </c>
      <c r="H83" s="12">
        <f t="shared" si="8"/>
        <v>162435</v>
      </c>
      <c r="I83" s="12" t="s">
        <v>34</v>
      </c>
      <c r="J83" s="4" t="s">
        <v>36</v>
      </c>
      <c r="K83" s="17">
        <v>78</v>
      </c>
      <c r="L83" s="9">
        <v>45879</v>
      </c>
    </row>
    <row r="84" spans="2:12" x14ac:dyDescent="0.35">
      <c r="B84" s="3" t="s">
        <v>5</v>
      </c>
      <c r="C84" s="4" t="s">
        <v>13</v>
      </c>
      <c r="D84" s="8">
        <v>56</v>
      </c>
      <c r="E84" s="6">
        <v>10500</v>
      </c>
      <c r="F84" s="5">
        <f t="shared" si="6"/>
        <v>588000</v>
      </c>
      <c r="G84" s="5">
        <f t="shared" si="7"/>
        <v>111720</v>
      </c>
      <c r="H84" s="12">
        <f t="shared" si="8"/>
        <v>699720</v>
      </c>
      <c r="I84" s="12" t="s">
        <v>32</v>
      </c>
      <c r="J84" s="4" t="s">
        <v>24</v>
      </c>
      <c r="K84" s="16">
        <v>79</v>
      </c>
      <c r="L84" s="9">
        <v>45879</v>
      </c>
    </row>
    <row r="85" spans="2:12" x14ac:dyDescent="0.35">
      <c r="B85" s="3" t="s">
        <v>6</v>
      </c>
      <c r="C85" s="4" t="s">
        <v>14</v>
      </c>
      <c r="D85" s="8">
        <v>10</v>
      </c>
      <c r="E85" s="6">
        <v>5000</v>
      </c>
      <c r="F85" s="5">
        <f t="shared" si="6"/>
        <v>50000</v>
      </c>
      <c r="G85" s="5">
        <f t="shared" si="7"/>
        <v>9500</v>
      </c>
      <c r="H85" s="12">
        <f t="shared" si="8"/>
        <v>59500</v>
      </c>
      <c r="I85" s="12" t="s">
        <v>34</v>
      </c>
      <c r="J85" s="4" t="s">
        <v>37</v>
      </c>
      <c r="K85" s="17">
        <v>80</v>
      </c>
      <c r="L85" s="9">
        <v>45879</v>
      </c>
    </row>
    <row r="86" spans="2:12" x14ac:dyDescent="0.35">
      <c r="B86" s="3" t="s">
        <v>6</v>
      </c>
      <c r="C86" s="4" t="s">
        <v>14</v>
      </c>
      <c r="D86" s="8">
        <v>21</v>
      </c>
      <c r="E86" s="6">
        <v>5000</v>
      </c>
      <c r="F86" s="5">
        <f t="shared" si="6"/>
        <v>105000</v>
      </c>
      <c r="G86" s="5">
        <f t="shared" si="7"/>
        <v>19950</v>
      </c>
      <c r="H86" s="12">
        <f t="shared" si="8"/>
        <v>124950</v>
      </c>
      <c r="I86" s="12" t="s">
        <v>32</v>
      </c>
      <c r="J86" s="4" t="s">
        <v>26</v>
      </c>
      <c r="K86" s="16">
        <v>81</v>
      </c>
      <c r="L86" s="9">
        <v>45879</v>
      </c>
    </row>
    <row r="87" spans="2:12" x14ac:dyDescent="0.35">
      <c r="B87" s="3" t="s">
        <v>7</v>
      </c>
      <c r="C87" s="4" t="s">
        <v>15</v>
      </c>
      <c r="D87" s="8">
        <v>7</v>
      </c>
      <c r="E87" s="6">
        <v>4600</v>
      </c>
      <c r="F87" s="5">
        <f t="shared" si="6"/>
        <v>32200</v>
      </c>
      <c r="G87" s="5">
        <f t="shared" si="7"/>
        <v>6118</v>
      </c>
      <c r="H87" s="12">
        <f t="shared" si="8"/>
        <v>38318</v>
      </c>
      <c r="I87" s="12" t="s">
        <v>32</v>
      </c>
      <c r="J87" s="4" t="s">
        <v>26</v>
      </c>
      <c r="K87" s="17">
        <v>82</v>
      </c>
      <c r="L87" s="9">
        <v>45879</v>
      </c>
    </row>
    <row r="88" spans="2:12" x14ac:dyDescent="0.35">
      <c r="B88" s="3" t="s">
        <v>7</v>
      </c>
      <c r="C88" s="4" t="s">
        <v>15</v>
      </c>
      <c r="D88" s="3">
        <v>43</v>
      </c>
      <c r="E88" s="6">
        <v>4600</v>
      </c>
      <c r="F88" s="5">
        <f t="shared" si="6"/>
        <v>197800</v>
      </c>
      <c r="G88" s="5">
        <f t="shared" si="7"/>
        <v>37582</v>
      </c>
      <c r="H88" s="12">
        <f t="shared" si="8"/>
        <v>235382</v>
      </c>
      <c r="I88" s="12" t="s">
        <v>32</v>
      </c>
      <c r="J88" s="4" t="s">
        <v>26</v>
      </c>
      <c r="K88" s="16">
        <v>83</v>
      </c>
      <c r="L88" s="9">
        <v>45879</v>
      </c>
    </row>
    <row r="89" spans="2:12" x14ac:dyDescent="0.35">
      <c r="B89" s="3" t="s">
        <v>7</v>
      </c>
      <c r="C89" s="4" t="s">
        <v>15</v>
      </c>
      <c r="D89" s="3">
        <v>43</v>
      </c>
      <c r="E89" s="6">
        <v>4600</v>
      </c>
      <c r="F89" s="5">
        <f t="shared" si="6"/>
        <v>197800</v>
      </c>
      <c r="G89" s="5">
        <f t="shared" si="7"/>
        <v>37582</v>
      </c>
      <c r="H89" s="12">
        <f t="shared" si="8"/>
        <v>235382</v>
      </c>
      <c r="I89" s="12" t="s">
        <v>34</v>
      </c>
      <c r="J89" s="4" t="s">
        <v>37</v>
      </c>
      <c r="K89" s="17">
        <v>84</v>
      </c>
      <c r="L89" s="9">
        <v>45879</v>
      </c>
    </row>
    <row r="90" spans="2:12" x14ac:dyDescent="0.35">
      <c r="B90" s="3" t="s">
        <v>1</v>
      </c>
      <c r="C90" s="4" t="s">
        <v>9</v>
      </c>
      <c r="D90" s="8">
        <v>9</v>
      </c>
      <c r="E90" s="6">
        <v>5500</v>
      </c>
      <c r="F90" s="5">
        <f t="shared" si="6"/>
        <v>49500</v>
      </c>
      <c r="G90" s="5">
        <f t="shared" si="7"/>
        <v>9405</v>
      </c>
      <c r="H90" s="12">
        <f t="shared" si="8"/>
        <v>58905</v>
      </c>
      <c r="I90" s="12" t="s">
        <v>34</v>
      </c>
      <c r="J90" s="4" t="s">
        <v>36</v>
      </c>
      <c r="K90" s="16">
        <v>85</v>
      </c>
      <c r="L90" s="10">
        <v>45880</v>
      </c>
    </row>
    <row r="91" spans="2:12" x14ac:dyDescent="0.35">
      <c r="B91" s="3" t="s">
        <v>1</v>
      </c>
      <c r="C91" s="4" t="s">
        <v>9</v>
      </c>
      <c r="D91" s="8">
        <v>15</v>
      </c>
      <c r="E91" s="6">
        <v>5500</v>
      </c>
      <c r="F91" s="5">
        <f t="shared" si="6"/>
        <v>82500</v>
      </c>
      <c r="G91" s="5">
        <f t="shared" si="7"/>
        <v>15675</v>
      </c>
      <c r="H91" s="12">
        <f t="shared" si="8"/>
        <v>98175</v>
      </c>
      <c r="I91" s="12" t="s">
        <v>33</v>
      </c>
      <c r="J91" s="4" t="s">
        <v>35</v>
      </c>
      <c r="K91" s="17">
        <v>86</v>
      </c>
      <c r="L91" s="10">
        <v>45880</v>
      </c>
    </row>
    <row r="92" spans="2:12" x14ac:dyDescent="0.35">
      <c r="B92" s="3" t="s">
        <v>1</v>
      </c>
      <c r="C92" s="4" t="s">
        <v>9</v>
      </c>
      <c r="D92" s="8">
        <v>22</v>
      </c>
      <c r="E92" s="6">
        <v>5500</v>
      </c>
      <c r="F92" s="5">
        <f t="shared" si="6"/>
        <v>121000</v>
      </c>
      <c r="G92" s="5">
        <f t="shared" si="7"/>
        <v>22990</v>
      </c>
      <c r="H92" s="12">
        <f t="shared" si="8"/>
        <v>143990</v>
      </c>
      <c r="I92" s="12" t="s">
        <v>34</v>
      </c>
      <c r="J92" s="4" t="s">
        <v>36</v>
      </c>
      <c r="K92" s="16">
        <v>87</v>
      </c>
      <c r="L92" s="10">
        <v>45880</v>
      </c>
    </row>
    <row r="93" spans="2:12" x14ac:dyDescent="0.35">
      <c r="B93" s="3" t="s">
        <v>5</v>
      </c>
      <c r="C93" s="4" t="s">
        <v>13</v>
      </c>
      <c r="D93" s="8">
        <v>9</v>
      </c>
      <c r="E93" s="6">
        <v>10500</v>
      </c>
      <c r="F93" s="5">
        <f t="shared" si="6"/>
        <v>94500</v>
      </c>
      <c r="G93" s="5">
        <f t="shared" si="7"/>
        <v>17955</v>
      </c>
      <c r="H93" s="12">
        <f t="shared" si="8"/>
        <v>112455</v>
      </c>
      <c r="I93" s="12" t="s">
        <v>33</v>
      </c>
      <c r="J93" s="4" t="s">
        <v>35</v>
      </c>
      <c r="K93" s="17">
        <v>88</v>
      </c>
      <c r="L93" s="10">
        <v>45880</v>
      </c>
    </row>
    <row r="94" spans="2:12" x14ac:dyDescent="0.35">
      <c r="B94" s="3" t="s">
        <v>5</v>
      </c>
      <c r="C94" s="4" t="s">
        <v>13</v>
      </c>
      <c r="D94" s="8">
        <v>19</v>
      </c>
      <c r="E94" s="6">
        <v>10500</v>
      </c>
      <c r="F94" s="5">
        <f t="shared" si="6"/>
        <v>199500</v>
      </c>
      <c r="G94" s="5">
        <f t="shared" si="7"/>
        <v>37905</v>
      </c>
      <c r="H94" s="12">
        <f t="shared" si="8"/>
        <v>237405</v>
      </c>
      <c r="I94" s="12" t="s">
        <v>34</v>
      </c>
      <c r="J94" s="4" t="s">
        <v>36</v>
      </c>
      <c r="K94" s="16">
        <v>89</v>
      </c>
      <c r="L94" s="10">
        <v>45880</v>
      </c>
    </row>
    <row r="95" spans="2:12" x14ac:dyDescent="0.35">
      <c r="B95" s="3" t="s">
        <v>6</v>
      </c>
      <c r="C95" s="4" t="s">
        <v>14</v>
      </c>
      <c r="D95" s="3">
        <v>23</v>
      </c>
      <c r="E95" s="6">
        <v>5000</v>
      </c>
      <c r="F95" s="5">
        <f t="shared" si="6"/>
        <v>115000</v>
      </c>
      <c r="G95" s="5">
        <f t="shared" si="7"/>
        <v>21850</v>
      </c>
      <c r="H95" s="12">
        <f t="shared" si="8"/>
        <v>136850</v>
      </c>
      <c r="I95" s="12" t="s">
        <v>34</v>
      </c>
      <c r="J95" s="4" t="s">
        <v>36</v>
      </c>
      <c r="K95" s="17">
        <v>90</v>
      </c>
      <c r="L95" s="10">
        <v>45880</v>
      </c>
    </row>
    <row r="96" spans="2:12" x14ac:dyDescent="0.35">
      <c r="B96" s="3" t="s">
        <v>6</v>
      </c>
      <c r="C96" s="4" t="s">
        <v>14</v>
      </c>
      <c r="D96" s="3">
        <v>37</v>
      </c>
      <c r="E96" s="6">
        <v>5000</v>
      </c>
      <c r="F96" s="5">
        <f t="shared" si="6"/>
        <v>185000</v>
      </c>
      <c r="G96" s="5">
        <f t="shared" si="7"/>
        <v>35150</v>
      </c>
      <c r="H96" s="12">
        <f t="shared" si="8"/>
        <v>220150</v>
      </c>
      <c r="I96" s="12" t="s">
        <v>33</v>
      </c>
      <c r="J96" s="4" t="s">
        <v>35</v>
      </c>
      <c r="K96" s="16">
        <v>91</v>
      </c>
      <c r="L96" s="10">
        <v>45880</v>
      </c>
    </row>
    <row r="97" spans="2:12" x14ac:dyDescent="0.35">
      <c r="B97" s="3" t="s">
        <v>8</v>
      </c>
      <c r="C97" s="4" t="s">
        <v>16</v>
      </c>
      <c r="D97" s="8">
        <v>33</v>
      </c>
      <c r="E97" s="6">
        <v>4900</v>
      </c>
      <c r="F97" s="5">
        <f t="shared" si="6"/>
        <v>161700</v>
      </c>
      <c r="G97" s="5">
        <f t="shared" si="7"/>
        <v>30723</v>
      </c>
      <c r="H97" s="12">
        <f t="shared" si="8"/>
        <v>192423</v>
      </c>
      <c r="I97" s="12" t="s">
        <v>34</v>
      </c>
      <c r="J97" s="4" t="s">
        <v>36</v>
      </c>
      <c r="K97" s="17">
        <v>92</v>
      </c>
      <c r="L97" s="10">
        <v>45880</v>
      </c>
    </row>
    <row r="98" spans="2:12" x14ac:dyDescent="0.35">
      <c r="B98" s="3" t="s">
        <v>8</v>
      </c>
      <c r="C98" s="4" t="s">
        <v>16</v>
      </c>
      <c r="D98" s="8">
        <v>66</v>
      </c>
      <c r="E98" s="6">
        <v>4900</v>
      </c>
      <c r="F98" s="5">
        <f t="shared" si="6"/>
        <v>323400</v>
      </c>
      <c r="G98" s="5">
        <f t="shared" si="7"/>
        <v>61446</v>
      </c>
      <c r="H98" s="12">
        <f t="shared" si="8"/>
        <v>384846</v>
      </c>
      <c r="I98" s="12" t="s">
        <v>32</v>
      </c>
      <c r="J98" s="4" t="s">
        <v>25</v>
      </c>
      <c r="K98" s="16">
        <v>93</v>
      </c>
      <c r="L98" s="10">
        <v>45880</v>
      </c>
    </row>
    <row r="99" spans="2:12" x14ac:dyDescent="0.35">
      <c r="B99" s="3" t="s">
        <v>1</v>
      </c>
      <c r="C99" s="4" t="s">
        <v>9</v>
      </c>
      <c r="D99" s="8">
        <v>4</v>
      </c>
      <c r="E99" s="6">
        <v>5500</v>
      </c>
      <c r="F99" s="5">
        <f t="shared" si="6"/>
        <v>22000</v>
      </c>
      <c r="G99" s="5">
        <f t="shared" si="7"/>
        <v>4180</v>
      </c>
      <c r="H99" s="12">
        <f t="shared" si="8"/>
        <v>26180</v>
      </c>
      <c r="I99" s="12" t="s">
        <v>34</v>
      </c>
      <c r="J99" s="4" t="s">
        <v>36</v>
      </c>
      <c r="K99" s="17">
        <v>94</v>
      </c>
      <c r="L99" s="9">
        <v>45881</v>
      </c>
    </row>
    <row r="100" spans="2:12" x14ac:dyDescent="0.35">
      <c r="B100" s="3" t="s">
        <v>2</v>
      </c>
      <c r="C100" s="4" t="s">
        <v>10</v>
      </c>
      <c r="D100" s="3">
        <v>21</v>
      </c>
      <c r="E100" s="6">
        <v>7800</v>
      </c>
      <c r="F100" s="5">
        <f t="shared" si="6"/>
        <v>163800</v>
      </c>
      <c r="G100" s="5">
        <f t="shared" si="7"/>
        <v>31122</v>
      </c>
      <c r="H100" s="12">
        <f t="shared" si="8"/>
        <v>194922</v>
      </c>
      <c r="I100" s="12" t="s">
        <v>34</v>
      </c>
      <c r="J100" s="4" t="s">
        <v>36</v>
      </c>
      <c r="K100" s="16">
        <v>95</v>
      </c>
      <c r="L100" s="9">
        <v>45881</v>
      </c>
    </row>
    <row r="101" spans="2:12" x14ac:dyDescent="0.35">
      <c r="B101" s="3" t="s">
        <v>2</v>
      </c>
      <c r="C101" s="4" t="s">
        <v>10</v>
      </c>
      <c r="D101" s="3">
        <v>50</v>
      </c>
      <c r="E101" s="6">
        <v>7800</v>
      </c>
      <c r="F101" s="5">
        <f t="shared" si="6"/>
        <v>390000</v>
      </c>
      <c r="G101" s="5">
        <f t="shared" si="7"/>
        <v>74100</v>
      </c>
      <c r="H101" s="12">
        <f t="shared" si="8"/>
        <v>464100</v>
      </c>
      <c r="I101" s="12" t="s">
        <v>32</v>
      </c>
      <c r="J101" s="4" t="s">
        <v>26</v>
      </c>
      <c r="K101" s="17">
        <v>96</v>
      </c>
      <c r="L101" s="9">
        <v>45881</v>
      </c>
    </row>
    <row r="102" spans="2:12" x14ac:dyDescent="0.35">
      <c r="B102" s="3" t="s">
        <v>4</v>
      </c>
      <c r="C102" s="4" t="s">
        <v>12</v>
      </c>
      <c r="D102" s="8">
        <v>20</v>
      </c>
      <c r="E102" s="6">
        <v>9600</v>
      </c>
      <c r="F102" s="5">
        <f t="shared" ref="F102:F131" si="9">D102*E102</f>
        <v>192000</v>
      </c>
      <c r="G102" s="5">
        <f t="shared" ref="G102:G131" si="10">F102*$F$1</f>
        <v>36480</v>
      </c>
      <c r="H102" s="12">
        <f t="shared" ref="H102:H131" si="11">F102+G102</f>
        <v>228480</v>
      </c>
      <c r="I102" s="12" t="s">
        <v>33</v>
      </c>
      <c r="J102" s="4" t="s">
        <v>29</v>
      </c>
      <c r="K102" s="16">
        <v>97</v>
      </c>
      <c r="L102" s="9">
        <v>45881</v>
      </c>
    </row>
    <row r="103" spans="2:12" x14ac:dyDescent="0.35">
      <c r="B103" s="3" t="s">
        <v>4</v>
      </c>
      <c r="C103" s="4" t="s">
        <v>12</v>
      </c>
      <c r="D103" s="8">
        <v>34</v>
      </c>
      <c r="E103" s="6">
        <v>9600</v>
      </c>
      <c r="F103" s="5">
        <f t="shared" si="9"/>
        <v>326400</v>
      </c>
      <c r="G103" s="5">
        <f t="shared" si="10"/>
        <v>62016</v>
      </c>
      <c r="H103" s="12">
        <f t="shared" si="11"/>
        <v>388416</v>
      </c>
      <c r="I103" s="12" t="s">
        <v>34</v>
      </c>
      <c r="J103" s="4" t="s">
        <v>37</v>
      </c>
      <c r="K103" s="17">
        <v>98</v>
      </c>
      <c r="L103" s="9">
        <v>45881</v>
      </c>
    </row>
    <row r="104" spans="2:12" x14ac:dyDescent="0.35">
      <c r="B104" s="3" t="s">
        <v>6</v>
      </c>
      <c r="C104" s="4" t="s">
        <v>14</v>
      </c>
      <c r="D104" s="8">
        <v>2</v>
      </c>
      <c r="E104" s="6">
        <v>5000</v>
      </c>
      <c r="F104" s="5">
        <f t="shared" si="9"/>
        <v>10000</v>
      </c>
      <c r="G104" s="5">
        <f t="shared" si="10"/>
        <v>1900</v>
      </c>
      <c r="H104" s="12">
        <f t="shared" si="11"/>
        <v>11900</v>
      </c>
      <c r="I104" s="12" t="s">
        <v>33</v>
      </c>
      <c r="J104" s="4" t="s">
        <v>29</v>
      </c>
      <c r="K104" s="16">
        <v>99</v>
      </c>
      <c r="L104" s="9">
        <v>45881</v>
      </c>
    </row>
    <row r="105" spans="2:12" x14ac:dyDescent="0.35">
      <c r="B105" s="3" t="s">
        <v>6</v>
      </c>
      <c r="C105" s="4" t="s">
        <v>14</v>
      </c>
      <c r="D105" s="8">
        <v>13</v>
      </c>
      <c r="E105" s="6">
        <v>5000</v>
      </c>
      <c r="F105" s="5">
        <f t="shared" si="9"/>
        <v>65000</v>
      </c>
      <c r="G105" s="5">
        <f t="shared" si="10"/>
        <v>12350</v>
      </c>
      <c r="H105" s="12">
        <f t="shared" si="11"/>
        <v>77350</v>
      </c>
      <c r="I105" s="12" t="s">
        <v>32</v>
      </c>
      <c r="J105" s="4" t="s">
        <v>26</v>
      </c>
      <c r="K105" s="17">
        <v>100</v>
      </c>
      <c r="L105" s="9">
        <v>45881</v>
      </c>
    </row>
    <row r="106" spans="2:12" x14ac:dyDescent="0.35">
      <c r="B106" s="3" t="s">
        <v>6</v>
      </c>
      <c r="C106" s="4" t="s">
        <v>14</v>
      </c>
      <c r="D106" s="8">
        <v>30</v>
      </c>
      <c r="E106" s="6">
        <v>5000</v>
      </c>
      <c r="F106" s="5">
        <f t="shared" si="9"/>
        <v>150000</v>
      </c>
      <c r="G106" s="5">
        <f t="shared" si="10"/>
        <v>28500</v>
      </c>
      <c r="H106" s="12">
        <f t="shared" si="11"/>
        <v>178500</v>
      </c>
      <c r="I106" s="12" t="s">
        <v>33</v>
      </c>
      <c r="J106" s="4" t="s">
        <v>29</v>
      </c>
      <c r="K106" s="16">
        <v>101</v>
      </c>
      <c r="L106" s="9">
        <v>45881</v>
      </c>
    </row>
    <row r="107" spans="2:12" x14ac:dyDescent="0.35">
      <c r="B107" s="3" t="s">
        <v>8</v>
      </c>
      <c r="C107" s="4" t="s">
        <v>16</v>
      </c>
      <c r="D107" s="8">
        <v>5</v>
      </c>
      <c r="E107" s="6">
        <v>4900</v>
      </c>
      <c r="F107" s="5">
        <f t="shared" si="9"/>
        <v>24500</v>
      </c>
      <c r="G107" s="5">
        <f t="shared" si="10"/>
        <v>4655</v>
      </c>
      <c r="H107" s="12">
        <f t="shared" si="11"/>
        <v>29155</v>
      </c>
      <c r="I107" s="12" t="s">
        <v>33</v>
      </c>
      <c r="J107" s="4" t="s">
        <v>35</v>
      </c>
      <c r="K107" s="17">
        <v>102</v>
      </c>
      <c r="L107" s="9">
        <v>45881</v>
      </c>
    </row>
    <row r="108" spans="2:12" x14ac:dyDescent="0.35">
      <c r="B108" s="3" t="s">
        <v>8</v>
      </c>
      <c r="C108" s="4" t="s">
        <v>16</v>
      </c>
      <c r="D108" s="8">
        <v>10</v>
      </c>
      <c r="E108" s="6">
        <v>4900</v>
      </c>
      <c r="F108" s="5">
        <f t="shared" si="9"/>
        <v>49000</v>
      </c>
      <c r="G108" s="5">
        <f t="shared" si="10"/>
        <v>9310</v>
      </c>
      <c r="H108" s="12">
        <f t="shared" si="11"/>
        <v>58310</v>
      </c>
      <c r="I108" s="12" t="s">
        <v>32</v>
      </c>
      <c r="J108" s="4" t="s">
        <v>25</v>
      </c>
      <c r="K108" s="16">
        <v>103</v>
      </c>
      <c r="L108" s="9">
        <v>45881</v>
      </c>
    </row>
    <row r="109" spans="2:12" x14ac:dyDescent="0.35">
      <c r="B109" s="3" t="s">
        <v>8</v>
      </c>
      <c r="C109" s="4" t="s">
        <v>16</v>
      </c>
      <c r="D109" s="3">
        <v>44</v>
      </c>
      <c r="E109" s="6">
        <v>4900</v>
      </c>
      <c r="F109" s="5">
        <f t="shared" si="9"/>
        <v>215600</v>
      </c>
      <c r="G109" s="5">
        <f t="shared" si="10"/>
        <v>40964</v>
      </c>
      <c r="H109" s="12">
        <f t="shared" si="11"/>
        <v>256564</v>
      </c>
      <c r="I109" s="12" t="s">
        <v>32</v>
      </c>
      <c r="J109" s="4" t="s">
        <v>25</v>
      </c>
      <c r="K109" s="17">
        <v>104</v>
      </c>
      <c r="L109" s="9">
        <v>45881</v>
      </c>
    </row>
    <row r="110" spans="2:12" x14ac:dyDescent="0.35">
      <c r="B110" s="3" t="s">
        <v>8</v>
      </c>
      <c r="C110" s="4" t="s">
        <v>16</v>
      </c>
      <c r="D110" s="3">
        <v>54</v>
      </c>
      <c r="E110" s="6">
        <v>4900</v>
      </c>
      <c r="F110" s="5">
        <f t="shared" si="9"/>
        <v>264600</v>
      </c>
      <c r="G110" s="5">
        <f t="shared" si="10"/>
        <v>50274</v>
      </c>
      <c r="H110" s="12">
        <f t="shared" si="11"/>
        <v>314874</v>
      </c>
      <c r="I110" s="12" t="s">
        <v>33</v>
      </c>
      <c r="J110" s="4" t="s">
        <v>35</v>
      </c>
      <c r="K110" s="16">
        <v>105</v>
      </c>
      <c r="L110" s="9">
        <v>45881</v>
      </c>
    </row>
    <row r="111" spans="2:12" x14ac:dyDescent="0.35">
      <c r="B111" s="3" t="s">
        <v>3</v>
      </c>
      <c r="C111" s="4" t="s">
        <v>11</v>
      </c>
      <c r="D111" s="3">
        <v>11</v>
      </c>
      <c r="E111" s="6">
        <v>22500</v>
      </c>
      <c r="F111" s="5">
        <f t="shared" si="9"/>
        <v>247500</v>
      </c>
      <c r="G111" s="5">
        <f t="shared" si="10"/>
        <v>47025</v>
      </c>
      <c r="H111" s="12">
        <f t="shared" si="11"/>
        <v>294525</v>
      </c>
      <c r="I111" s="12" t="s">
        <v>34</v>
      </c>
      <c r="J111" s="4" t="s">
        <v>37</v>
      </c>
      <c r="K111" s="17">
        <v>106</v>
      </c>
      <c r="L111" s="9">
        <v>45882</v>
      </c>
    </row>
    <row r="112" spans="2:12" x14ac:dyDescent="0.35">
      <c r="B112" s="3" t="s">
        <v>3</v>
      </c>
      <c r="C112" s="4" t="s">
        <v>11</v>
      </c>
      <c r="D112" s="3">
        <v>30</v>
      </c>
      <c r="E112" s="6">
        <v>22500</v>
      </c>
      <c r="F112" s="5">
        <f t="shared" si="9"/>
        <v>675000</v>
      </c>
      <c r="G112" s="5">
        <f t="shared" si="10"/>
        <v>128250</v>
      </c>
      <c r="H112" s="12">
        <f t="shared" si="11"/>
        <v>803250</v>
      </c>
      <c r="I112" s="12" t="s">
        <v>33</v>
      </c>
      <c r="J112" s="4" t="s">
        <v>29</v>
      </c>
      <c r="K112" s="16">
        <v>107</v>
      </c>
      <c r="L112" s="9">
        <v>45882</v>
      </c>
    </row>
    <row r="113" spans="2:12" x14ac:dyDescent="0.35">
      <c r="B113" s="3" t="s">
        <v>8</v>
      </c>
      <c r="C113" s="4" t="s">
        <v>16</v>
      </c>
      <c r="D113" s="8">
        <v>8</v>
      </c>
      <c r="E113" s="6">
        <v>4900</v>
      </c>
      <c r="F113" s="5">
        <f t="shared" si="9"/>
        <v>39200</v>
      </c>
      <c r="G113" s="5">
        <f t="shared" si="10"/>
        <v>7448</v>
      </c>
      <c r="H113" s="12">
        <f t="shared" si="11"/>
        <v>46648</v>
      </c>
      <c r="I113" s="12" t="s">
        <v>33</v>
      </c>
      <c r="J113" s="4" t="s">
        <v>29</v>
      </c>
      <c r="K113" s="17">
        <v>108</v>
      </c>
      <c r="L113" s="9">
        <v>45882</v>
      </c>
    </row>
    <row r="114" spans="2:12" x14ac:dyDescent="0.35">
      <c r="B114" s="3" t="s">
        <v>3</v>
      </c>
      <c r="C114" s="4" t="s">
        <v>11</v>
      </c>
      <c r="D114" s="8">
        <v>6</v>
      </c>
      <c r="E114" s="6">
        <v>22500</v>
      </c>
      <c r="F114" s="5">
        <f t="shared" si="9"/>
        <v>135000</v>
      </c>
      <c r="G114" s="5">
        <f t="shared" si="10"/>
        <v>25650</v>
      </c>
      <c r="H114" s="12">
        <f t="shared" si="11"/>
        <v>160650</v>
      </c>
      <c r="I114" s="12" t="s">
        <v>33</v>
      </c>
      <c r="J114" s="4" t="s">
        <v>35</v>
      </c>
      <c r="K114" s="16">
        <v>109</v>
      </c>
      <c r="L114" s="9">
        <v>45882</v>
      </c>
    </row>
    <row r="115" spans="2:12" x14ac:dyDescent="0.35">
      <c r="B115" s="3" t="s">
        <v>4</v>
      </c>
      <c r="C115" s="4" t="s">
        <v>12</v>
      </c>
      <c r="D115" s="8">
        <v>21</v>
      </c>
      <c r="E115" s="6">
        <v>9600</v>
      </c>
      <c r="F115" s="5">
        <f t="shared" si="9"/>
        <v>201600</v>
      </c>
      <c r="G115" s="5">
        <f t="shared" si="10"/>
        <v>38304</v>
      </c>
      <c r="H115" s="12">
        <f t="shared" si="11"/>
        <v>239904</v>
      </c>
      <c r="I115" s="12" t="s">
        <v>33</v>
      </c>
      <c r="J115" s="4" t="s">
        <v>35</v>
      </c>
      <c r="K115" s="17">
        <v>110</v>
      </c>
      <c r="L115" s="9">
        <v>45882</v>
      </c>
    </row>
    <row r="116" spans="2:12" x14ac:dyDescent="0.35">
      <c r="B116" s="3" t="s">
        <v>4</v>
      </c>
      <c r="C116" s="4" t="s">
        <v>12</v>
      </c>
      <c r="D116" s="8">
        <v>33</v>
      </c>
      <c r="E116" s="6">
        <v>9600</v>
      </c>
      <c r="F116" s="5">
        <f t="shared" si="9"/>
        <v>316800</v>
      </c>
      <c r="G116" s="5">
        <f t="shared" si="10"/>
        <v>60192</v>
      </c>
      <c r="H116" s="12">
        <f t="shared" si="11"/>
        <v>376992</v>
      </c>
      <c r="I116" s="12" t="s">
        <v>34</v>
      </c>
      <c r="J116" s="4" t="s">
        <v>36</v>
      </c>
      <c r="K116" s="16">
        <v>111</v>
      </c>
      <c r="L116" s="9">
        <v>45882</v>
      </c>
    </row>
    <row r="117" spans="2:12" x14ac:dyDescent="0.35">
      <c r="B117" s="3" t="s">
        <v>2</v>
      </c>
      <c r="C117" s="4" t="s">
        <v>10</v>
      </c>
      <c r="D117" s="8">
        <v>9</v>
      </c>
      <c r="E117" s="6">
        <v>7800</v>
      </c>
      <c r="F117" s="5">
        <f t="shared" si="9"/>
        <v>70200</v>
      </c>
      <c r="G117" s="5">
        <f t="shared" si="10"/>
        <v>13338</v>
      </c>
      <c r="H117" s="12">
        <f t="shared" si="11"/>
        <v>83538</v>
      </c>
      <c r="I117" s="12" t="s">
        <v>32</v>
      </c>
      <c r="J117" s="4" t="s">
        <v>24</v>
      </c>
      <c r="K117" s="17">
        <v>112</v>
      </c>
      <c r="L117" s="10">
        <v>45884</v>
      </c>
    </row>
    <row r="118" spans="2:12" x14ac:dyDescent="0.35">
      <c r="B118" s="3" t="s">
        <v>2</v>
      </c>
      <c r="C118" s="4" t="s">
        <v>10</v>
      </c>
      <c r="D118" s="8">
        <v>23</v>
      </c>
      <c r="E118" s="6">
        <v>7800</v>
      </c>
      <c r="F118" s="5">
        <f t="shared" si="9"/>
        <v>179400</v>
      </c>
      <c r="G118" s="5">
        <f t="shared" si="10"/>
        <v>34086</v>
      </c>
      <c r="H118" s="12">
        <f t="shared" si="11"/>
        <v>213486</v>
      </c>
      <c r="I118" s="12" t="s">
        <v>34</v>
      </c>
      <c r="J118" s="4" t="s">
        <v>37</v>
      </c>
      <c r="K118" s="16">
        <v>113</v>
      </c>
      <c r="L118" s="10">
        <v>45884</v>
      </c>
    </row>
    <row r="119" spans="2:12" x14ac:dyDescent="0.35">
      <c r="B119" s="3" t="s">
        <v>2</v>
      </c>
      <c r="C119" s="4" t="s">
        <v>10</v>
      </c>
      <c r="D119" s="8">
        <v>44</v>
      </c>
      <c r="E119" s="6">
        <v>7800</v>
      </c>
      <c r="F119" s="5">
        <f t="shared" si="9"/>
        <v>343200</v>
      </c>
      <c r="G119" s="5">
        <f t="shared" si="10"/>
        <v>65208</v>
      </c>
      <c r="H119" s="12">
        <f t="shared" si="11"/>
        <v>408408</v>
      </c>
      <c r="I119" s="12" t="s">
        <v>32</v>
      </c>
      <c r="J119" s="4" t="s">
        <v>24</v>
      </c>
      <c r="K119" s="17">
        <v>114</v>
      </c>
      <c r="L119" s="10">
        <v>45884</v>
      </c>
    </row>
    <row r="120" spans="2:12" x14ac:dyDescent="0.35">
      <c r="B120" s="3" t="s">
        <v>3</v>
      </c>
      <c r="C120" s="4" t="s">
        <v>11</v>
      </c>
      <c r="D120" s="8">
        <v>4</v>
      </c>
      <c r="E120" s="6">
        <v>22500</v>
      </c>
      <c r="F120" s="5">
        <f t="shared" si="9"/>
        <v>90000</v>
      </c>
      <c r="G120" s="5">
        <f t="shared" si="10"/>
        <v>17100</v>
      </c>
      <c r="H120" s="12">
        <f t="shared" si="11"/>
        <v>107100</v>
      </c>
      <c r="I120" s="12" t="s">
        <v>32</v>
      </c>
      <c r="J120" s="4" t="s">
        <v>25</v>
      </c>
      <c r="K120" s="16">
        <v>115</v>
      </c>
      <c r="L120" s="10">
        <v>45884</v>
      </c>
    </row>
    <row r="121" spans="2:12" x14ac:dyDescent="0.35">
      <c r="B121" s="3" t="s">
        <v>3</v>
      </c>
      <c r="C121" s="4" t="s">
        <v>11</v>
      </c>
      <c r="D121" s="8">
        <v>21</v>
      </c>
      <c r="E121" s="6">
        <v>22500</v>
      </c>
      <c r="F121" s="5">
        <f t="shared" si="9"/>
        <v>472500</v>
      </c>
      <c r="G121" s="5">
        <f t="shared" si="10"/>
        <v>89775</v>
      </c>
      <c r="H121" s="12">
        <f t="shared" si="11"/>
        <v>562275</v>
      </c>
      <c r="I121" s="12" t="s">
        <v>32</v>
      </c>
      <c r="J121" s="4" t="s">
        <v>25</v>
      </c>
      <c r="K121" s="17">
        <v>116</v>
      </c>
      <c r="L121" s="10">
        <v>45884</v>
      </c>
    </row>
    <row r="122" spans="2:12" x14ac:dyDescent="0.35">
      <c r="B122" s="3" t="s">
        <v>3</v>
      </c>
      <c r="C122" s="4" t="s">
        <v>11</v>
      </c>
      <c r="D122" s="8">
        <v>22</v>
      </c>
      <c r="E122" s="6">
        <v>22500</v>
      </c>
      <c r="F122" s="5">
        <f t="shared" si="9"/>
        <v>495000</v>
      </c>
      <c r="G122" s="5">
        <f t="shared" si="10"/>
        <v>94050</v>
      </c>
      <c r="H122" s="12">
        <f t="shared" si="11"/>
        <v>589050</v>
      </c>
      <c r="I122" s="12" t="s">
        <v>33</v>
      </c>
      <c r="J122" s="4" t="s">
        <v>29</v>
      </c>
      <c r="K122" s="16">
        <v>117</v>
      </c>
      <c r="L122" s="10">
        <v>45884</v>
      </c>
    </row>
    <row r="123" spans="2:12" x14ac:dyDescent="0.35">
      <c r="B123" s="3" t="s">
        <v>4</v>
      </c>
      <c r="C123" s="4" t="s">
        <v>12</v>
      </c>
      <c r="D123" s="3">
        <v>2</v>
      </c>
      <c r="E123" s="6">
        <v>9600</v>
      </c>
      <c r="F123" s="5">
        <f t="shared" si="9"/>
        <v>19200</v>
      </c>
      <c r="G123" s="5">
        <f t="shared" si="10"/>
        <v>3648</v>
      </c>
      <c r="H123" s="12">
        <f t="shared" si="11"/>
        <v>22848</v>
      </c>
      <c r="I123" s="12" t="s">
        <v>34</v>
      </c>
      <c r="J123" s="4" t="s">
        <v>37</v>
      </c>
      <c r="K123" s="17">
        <v>118</v>
      </c>
      <c r="L123" s="10">
        <v>45884</v>
      </c>
    </row>
    <row r="124" spans="2:12" x14ac:dyDescent="0.35">
      <c r="B124" s="3" t="s">
        <v>4</v>
      </c>
      <c r="C124" s="4" t="s">
        <v>12</v>
      </c>
      <c r="D124" s="3">
        <v>59</v>
      </c>
      <c r="E124" s="6">
        <v>9600</v>
      </c>
      <c r="F124" s="5">
        <f t="shared" si="9"/>
        <v>566400</v>
      </c>
      <c r="G124" s="5">
        <f t="shared" si="10"/>
        <v>107616</v>
      </c>
      <c r="H124" s="12">
        <f t="shared" si="11"/>
        <v>674016</v>
      </c>
      <c r="I124" s="12" t="s">
        <v>33</v>
      </c>
      <c r="J124" s="4" t="s">
        <v>29</v>
      </c>
      <c r="K124" s="16">
        <v>119</v>
      </c>
      <c r="L124" s="10">
        <v>45884</v>
      </c>
    </row>
    <row r="125" spans="2:12" x14ac:dyDescent="0.35">
      <c r="B125" s="3" t="s">
        <v>5</v>
      </c>
      <c r="C125" s="4" t="s">
        <v>13</v>
      </c>
      <c r="D125" s="8">
        <v>15</v>
      </c>
      <c r="E125" s="6">
        <v>10500</v>
      </c>
      <c r="F125" s="5">
        <f t="shared" si="9"/>
        <v>157500</v>
      </c>
      <c r="G125" s="5">
        <f t="shared" si="10"/>
        <v>29925</v>
      </c>
      <c r="H125" s="12">
        <f t="shared" si="11"/>
        <v>187425</v>
      </c>
      <c r="I125" s="12" t="s">
        <v>32</v>
      </c>
      <c r="J125" s="4" t="s">
        <v>25</v>
      </c>
      <c r="K125" s="17">
        <v>120</v>
      </c>
      <c r="L125" s="10">
        <v>45884</v>
      </c>
    </row>
    <row r="126" spans="2:12" x14ac:dyDescent="0.35">
      <c r="B126" s="3" t="s">
        <v>5</v>
      </c>
      <c r="C126" s="4" t="s">
        <v>13</v>
      </c>
      <c r="D126" s="8">
        <v>15</v>
      </c>
      <c r="E126" s="6">
        <v>10500</v>
      </c>
      <c r="F126" s="5">
        <f t="shared" si="9"/>
        <v>157500</v>
      </c>
      <c r="G126" s="5">
        <f t="shared" si="10"/>
        <v>29925</v>
      </c>
      <c r="H126" s="12">
        <f t="shared" si="11"/>
        <v>187425</v>
      </c>
      <c r="I126" s="12" t="s">
        <v>34</v>
      </c>
      <c r="J126" s="4" t="s">
        <v>37</v>
      </c>
      <c r="K126" s="16">
        <v>121</v>
      </c>
      <c r="L126" s="10">
        <v>45884</v>
      </c>
    </row>
    <row r="127" spans="2:12" x14ac:dyDescent="0.35">
      <c r="B127" s="3" t="s">
        <v>5</v>
      </c>
      <c r="C127" s="4" t="s">
        <v>13</v>
      </c>
      <c r="D127" s="3">
        <v>35</v>
      </c>
      <c r="E127" s="6">
        <v>10500</v>
      </c>
      <c r="F127" s="5">
        <f t="shared" si="9"/>
        <v>367500</v>
      </c>
      <c r="G127" s="5">
        <f t="shared" si="10"/>
        <v>69825</v>
      </c>
      <c r="H127" s="12">
        <f t="shared" si="11"/>
        <v>437325</v>
      </c>
      <c r="I127" s="12" t="s">
        <v>32</v>
      </c>
      <c r="J127" s="4" t="s">
        <v>24</v>
      </c>
      <c r="K127" s="17">
        <v>122</v>
      </c>
      <c r="L127" s="10">
        <v>45884</v>
      </c>
    </row>
    <row r="128" spans="2:12" x14ac:dyDescent="0.35">
      <c r="B128" s="3" t="s">
        <v>5</v>
      </c>
      <c r="C128" s="4" t="s">
        <v>13</v>
      </c>
      <c r="D128" s="3">
        <v>77</v>
      </c>
      <c r="E128" s="6">
        <v>10500</v>
      </c>
      <c r="F128" s="5">
        <f t="shared" si="9"/>
        <v>808500</v>
      </c>
      <c r="G128" s="5">
        <f t="shared" si="10"/>
        <v>153615</v>
      </c>
      <c r="H128" s="12">
        <f t="shared" si="11"/>
        <v>962115</v>
      </c>
      <c r="I128" s="12" t="s">
        <v>33</v>
      </c>
      <c r="J128" s="4" t="s">
        <v>29</v>
      </c>
      <c r="K128" s="16">
        <v>123</v>
      </c>
      <c r="L128" s="10">
        <v>45884</v>
      </c>
    </row>
    <row r="129" spans="2:12" x14ac:dyDescent="0.35">
      <c r="B129" s="3" t="s">
        <v>7</v>
      </c>
      <c r="C129" s="4" t="s">
        <v>15</v>
      </c>
      <c r="D129" s="8">
        <v>6</v>
      </c>
      <c r="E129" s="6">
        <v>4600</v>
      </c>
      <c r="F129" s="5">
        <f t="shared" si="9"/>
        <v>27600</v>
      </c>
      <c r="G129" s="5">
        <f t="shared" si="10"/>
        <v>5244</v>
      </c>
      <c r="H129" s="12">
        <f t="shared" si="11"/>
        <v>32844</v>
      </c>
      <c r="I129" s="12" t="s">
        <v>34</v>
      </c>
      <c r="J129" s="4" t="s">
        <v>37</v>
      </c>
      <c r="K129" s="17">
        <v>124</v>
      </c>
      <c r="L129" s="10">
        <v>45884</v>
      </c>
    </row>
    <row r="130" spans="2:12" x14ac:dyDescent="0.35">
      <c r="B130" s="3" t="s">
        <v>7</v>
      </c>
      <c r="C130" s="4" t="s">
        <v>15</v>
      </c>
      <c r="D130" s="8">
        <v>10</v>
      </c>
      <c r="E130" s="6">
        <v>4600</v>
      </c>
      <c r="F130" s="5">
        <f t="shared" si="9"/>
        <v>46000</v>
      </c>
      <c r="G130" s="5">
        <f t="shared" si="10"/>
        <v>8740</v>
      </c>
      <c r="H130" s="12">
        <f t="shared" si="11"/>
        <v>54740</v>
      </c>
      <c r="I130" s="12" t="s">
        <v>34</v>
      </c>
      <c r="J130" s="4" t="s">
        <v>37</v>
      </c>
      <c r="K130" s="16">
        <v>125</v>
      </c>
      <c r="L130" s="10">
        <v>45884</v>
      </c>
    </row>
    <row r="131" spans="2:12" x14ac:dyDescent="0.35">
      <c r="B131" s="3" t="s">
        <v>7</v>
      </c>
      <c r="C131" s="4" t="s">
        <v>15</v>
      </c>
      <c r="D131" s="8">
        <v>11</v>
      </c>
      <c r="E131" s="6">
        <v>4600</v>
      </c>
      <c r="F131" s="5">
        <f t="shared" si="9"/>
        <v>50600</v>
      </c>
      <c r="G131" s="5">
        <f t="shared" si="10"/>
        <v>9614</v>
      </c>
      <c r="H131" s="12">
        <f t="shared" si="11"/>
        <v>60214</v>
      </c>
      <c r="I131" s="12" t="s">
        <v>33</v>
      </c>
      <c r="J131" s="4" t="s">
        <v>29</v>
      </c>
      <c r="K131" s="17">
        <v>126</v>
      </c>
      <c r="L131" s="10">
        <v>45884</v>
      </c>
    </row>
    <row r="132" spans="2:12" ht="27" customHeight="1" x14ac:dyDescent="0.35"/>
  </sheetData>
  <sortState xmlns:xlrd2="http://schemas.microsoft.com/office/spreadsheetml/2017/richdata2" ref="B6:L130">
    <sortCondition ref="B6:B130"/>
    <sortCondition ref="D6:D130"/>
  </sortState>
  <dataConsolidate>
    <dataRefs count="1">
      <dataRef ref="D10" sheet="VENTAS"/>
    </dataRefs>
  </dataConsolidate>
  <mergeCells count="1">
    <mergeCell ref="B3:L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263CE-7174-4A62-AD6E-BF2F4B626B8F}">
  <dimension ref="C1:J20"/>
  <sheetViews>
    <sheetView topLeftCell="A6" zoomScale="120" zoomScaleNormal="120" workbookViewId="0">
      <selection activeCell="C12" sqref="C12"/>
    </sheetView>
  </sheetViews>
  <sheetFormatPr baseColWidth="10" defaultRowHeight="14.5" x14ac:dyDescent="0.35"/>
  <cols>
    <col min="3" max="3" width="20" bestFit="1" customWidth="1"/>
    <col min="6" max="6" width="13.7265625" bestFit="1" customWidth="1"/>
    <col min="7" max="7" width="14" bestFit="1" customWidth="1"/>
  </cols>
  <sheetData>
    <row r="1" spans="3:10" ht="21.5" thickBot="1" x14ac:dyDescent="0.55000000000000004">
      <c r="C1" s="18"/>
      <c r="D1" s="19" t="s">
        <v>39</v>
      </c>
      <c r="E1" s="19"/>
      <c r="F1" s="19"/>
      <c r="G1" s="19"/>
      <c r="H1" s="20"/>
    </row>
    <row r="3" spans="3:10" x14ac:dyDescent="0.35">
      <c r="C3" s="21" t="s">
        <v>40</v>
      </c>
      <c r="D3" t="s">
        <v>50</v>
      </c>
      <c r="F3" t="s">
        <v>41</v>
      </c>
      <c r="G3" s="32">
        <v>44763</v>
      </c>
    </row>
    <row r="4" spans="3:10" x14ac:dyDescent="0.35">
      <c r="F4" t="s">
        <v>42</v>
      </c>
      <c r="G4" s="32">
        <v>44763</v>
      </c>
    </row>
    <row r="5" spans="3:10" ht="15" thickBot="1" x14ac:dyDescent="0.4"/>
    <row r="6" spans="3:10" ht="19" thickBot="1" x14ac:dyDescent="0.5">
      <c r="C6" s="22" t="s">
        <v>43</v>
      </c>
      <c r="D6" s="23"/>
      <c r="E6" s="23" t="s">
        <v>44</v>
      </c>
      <c r="F6" s="23"/>
      <c r="G6" s="24"/>
    </row>
    <row r="7" spans="3:10" x14ac:dyDescent="0.35">
      <c r="C7" s="25" t="s">
        <v>9</v>
      </c>
      <c r="E7" s="30">
        <v>301070</v>
      </c>
      <c r="F7" s="26"/>
      <c r="G7" s="26"/>
    </row>
    <row r="8" spans="3:10" x14ac:dyDescent="0.35">
      <c r="C8" s="25" t="s">
        <v>11</v>
      </c>
      <c r="E8" s="30">
        <v>4658850</v>
      </c>
      <c r="F8" s="26"/>
      <c r="G8" s="26"/>
    </row>
    <row r="9" spans="3:10" x14ac:dyDescent="0.35">
      <c r="C9" s="25" t="s">
        <v>14</v>
      </c>
      <c r="E9" s="30">
        <v>124950</v>
      </c>
    </row>
    <row r="10" spans="3:10" x14ac:dyDescent="0.35">
      <c r="C10" s="25" t="s">
        <v>13</v>
      </c>
      <c r="E10" s="30">
        <v>1611855</v>
      </c>
      <c r="J10" s="25"/>
    </row>
    <row r="11" spans="3:10" x14ac:dyDescent="0.35">
      <c r="C11" s="25" t="s">
        <v>16</v>
      </c>
      <c r="E11" s="30">
        <v>81634</v>
      </c>
      <c r="F11" s="31"/>
      <c r="J11" s="25"/>
    </row>
    <row r="12" spans="3:10" x14ac:dyDescent="0.35">
      <c r="C12" s="25"/>
      <c r="E12" s="31"/>
      <c r="J12" s="25"/>
    </row>
    <row r="13" spans="3:10" x14ac:dyDescent="0.35">
      <c r="D13" s="31"/>
      <c r="J13" s="25"/>
    </row>
    <row r="14" spans="3:10" x14ac:dyDescent="0.35">
      <c r="D14" s="31"/>
      <c r="J14" s="25"/>
    </row>
    <row r="15" spans="3:10" x14ac:dyDescent="0.35">
      <c r="J15" s="25"/>
    </row>
    <row r="16" spans="3:10" x14ac:dyDescent="0.35">
      <c r="D16" t="s">
        <v>45</v>
      </c>
      <c r="E16" s="27">
        <f>SUM(E7:E15)</f>
        <v>6778359</v>
      </c>
    </row>
    <row r="17" spans="4:7" x14ac:dyDescent="0.35">
      <c r="D17" s="25" t="s">
        <v>46</v>
      </c>
      <c r="E17" s="26">
        <f>E16*19%</f>
        <v>1287888.21</v>
      </c>
      <c r="F17" s="28" t="s">
        <v>47</v>
      </c>
      <c r="G17" s="28" t="s">
        <v>48</v>
      </c>
    </row>
    <row r="18" spans="4:7" x14ac:dyDescent="0.35">
      <c r="D18" s="29" t="s">
        <v>49</v>
      </c>
      <c r="E18" s="27">
        <f>E17+E16</f>
        <v>8066247.21</v>
      </c>
      <c r="F18" s="25"/>
      <c r="G18" s="30"/>
    </row>
    <row r="20" spans="4:7" x14ac:dyDescent="0.35">
      <c r="F20" s="33"/>
      <c r="G20" s="3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resumen</vt:lpstr>
      <vt:lpstr>VENTAS</vt:lpstr>
      <vt:lpstr>CAJA DIARIA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Patricio G. Molina Moreno</dc:creator>
  <cp:lastModifiedBy>Patricio G. Molina Moreno</cp:lastModifiedBy>
  <dcterms:created xsi:type="dcterms:W3CDTF">2022-08-10T22:00:53Z</dcterms:created>
  <dcterms:modified xsi:type="dcterms:W3CDTF">2025-11-19T17:37:22Z</dcterms:modified>
</cp:coreProperties>
</file>